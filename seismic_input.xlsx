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B5C5AD42-245A-4D83-9475-541BB99E6369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BY5" i="4" l="1"/>
  <c r="CC5" i="4"/>
  <c r="BP5" i="4"/>
  <c r="BL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P4" i="4"/>
  <c r="BL4" i="4"/>
  <c r="U6" i="3"/>
  <c r="R6" i="3"/>
  <c r="L7" i="3"/>
  <c r="AB6" i="3"/>
  <c r="L5" i="3"/>
  <c r="X6" i="3"/>
  <c r="K6" i="3"/>
  <c r="L6" i="3"/>
  <c r="AK7" i="3"/>
  <c r="AH5" i="3"/>
  <c r="K7" i="3"/>
  <c r="E6" i="3"/>
  <c r="Y7" i="3"/>
  <c r="U7" i="3"/>
  <c r="N7" i="3"/>
  <c r="I5" i="3"/>
  <c r="AN6" i="3"/>
  <c r="W7" i="3"/>
  <c r="O6" i="3"/>
  <c r="R5" i="3"/>
  <c r="AH6" i="3"/>
  <c r="E7" i="3"/>
  <c r="Y6" i="3"/>
  <c r="AB7" i="3"/>
  <c r="O7" i="3"/>
  <c r="AE6" i="3"/>
  <c r="X7" i="3"/>
  <c r="AE7" i="3"/>
  <c r="F6" i="3"/>
  <c r="E5" i="3"/>
  <c r="N6" i="3"/>
  <c r="H6" i="3"/>
  <c r="AH7" i="3"/>
  <c r="U5" i="3"/>
  <c r="AK5" i="3"/>
  <c r="W6" i="3"/>
  <c r="F5" i="3"/>
  <c r="AN7" i="3"/>
  <c r="Q6" i="3"/>
  <c r="T6" i="3"/>
  <c r="AE5" i="3"/>
  <c r="AN5" i="3"/>
  <c r="I7" i="3"/>
  <c r="AK6" i="3"/>
  <c r="AB5" i="3"/>
  <c r="X5" i="3"/>
  <c r="T7" i="3"/>
  <c r="O5" i="3"/>
  <c r="R7" i="3"/>
  <c r="H5" i="3"/>
  <c r="I6" i="3"/>
  <c r="F7" i="3"/>
  <c r="Q7" i="3"/>
  <c r="H7" i="3"/>
  <c r="Y5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K5" i="3"/>
  <c r="T5" i="3"/>
  <c r="W5" i="3"/>
  <c r="N5" i="3"/>
  <c r="Q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<sst xmlns="http://schemas.openxmlformats.org/spreadsheetml/2006/main" count="631" uniqueCount="479">
  <si>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</si>
  <si>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</si>
  <si>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</si>
  <si>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</si>
  <si>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</si>
  <si>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</si>
  <si>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</si>
  <si>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</si>
  <si>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</si>
  <si>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</si>
  <si>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</si>
  <si>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</si>
  <si>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</si>
  <si>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</si>
  <si>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</si>
  <si>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</si>
  <si>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</si>
  <si>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</si>
  <si>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</si>
  <si>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</si>
  <si>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</si>
  <si>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</si>
  <si>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</si>
  <si>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</si>
  <si>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</si>
  <si>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</si>
  <si>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</si>
  <si>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</si>
  <si>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</si>
  <si>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</si>
  <si>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</si>
  <si>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</si>
  <si>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</si>
  <si>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</si>
  <si>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</si>
  <si>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</si>
  <si>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</si>
  <si>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</si>
  <si>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</si>
  <si>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</si>
  <si>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Z верха пр.
части,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</si>
  <si>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</si>
  <si>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</si>
  <si>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</si>
  <si>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</si>
  <si>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</si>
  <si>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</si>
  <si>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</si>
  <si>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</si>
  <si>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</si>
  <si>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</si>
  <si>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</si>
  <si>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</si>
  <si>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</si>
  <si>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</si>
  <si>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</si>
  <si>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</si>
  <si>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</si>
  <si>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</si>
  <si>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</si>
  <si>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</si>
  <si>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</si>
  <si>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</si>
  <si>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</si>
  <si>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</si>
  <si>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</si>
  <si>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</si>
  <si>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</si>
  <si>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</si>
  <si>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</si>
  <si>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</si>
  <si>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</si>
  <si>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</si>
  <si>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</si>
  <si>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</si>
  <si>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</si>
  <si>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</si>
  <si>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</si>
  <si>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</si>
  <si>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</si>
  <si>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</si>
  <si>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</si>
  <si>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</si>
  <si>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</si>
  <si>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</si>
  <si>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</si>
  <si>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</si>
  <si>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</si>
  <si>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</si>
  <si>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</si>
  <si>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</si>
  <si>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</si>
  <si>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</si>
  <si>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</si>
  <si>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</si>
  <si>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</si>
  <si>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</si>
  <si>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</si>
  <si>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</si>
  <si>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</si>
  <si>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</si>
  <si>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</si>
  <si>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</si>
  <si>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</si>
  <si>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</si>
  <si>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</si>
  <si>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</si>
  <si>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</si>
  <si>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</si>
  <si>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</si>
  <si>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</si>
  <si>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</si>
  <si>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</si>
  <si>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</si>
  <si>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</si>
  <si>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</si>
  <si>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</si>
  <si>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</si>
  <si>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</si>
  <si>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</si>
  <si>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</si>
  <si>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</si>
  <si>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</si>
  <si>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</si>
  <si>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</si>
  <si>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</si>
  <si>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</si>
  <si>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</si>
  <si>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</si>
  <si>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</si>
  <si>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</si>
  <si>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</si>
  <si>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</si>
  <si>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</si>
  <si>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</si>
  <si>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</si>
  <si>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</si>
  <si>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</si>
  <si>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</si>
  <si>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</si>
  <si>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</si>
  <si>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</si>
  <si>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</si>
  <si>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</si>
  <si>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</si>
  <si>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</si>
  <si>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</si>
  <si>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</si>
  <si>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</si>
  <si>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</si>
  <si>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</si>
  <si>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</si>
  <si>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</si>
  <si>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</si>
  <si>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</si>
  <si>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</si>
  <si>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</si>
  <si>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</si>
  <si>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</si>
  <si>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</si>
  <si>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</si>
  <si>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</si>
  <si>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</si>
  <si>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</si>
  <si>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</si>
  <si>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</si>
  <si>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</si>
  <si>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</si>
  <si>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</si>
  <si>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</si>
  <si>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</si>
  <si>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</si>
  <si>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</si>
  <si>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</si>
  <si>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</si>
  <si>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</si>
  <si>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</si>
  <si>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</si>
  <si>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</si>
  <si>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</si>
  <si>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</si>
  <si>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</si>
  <si>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</si>
  <si>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</si>
  <si>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</si>
  <si>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</si>
  <si>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</si>
  <si>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</si>
  <si>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</si>
  <si>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</si>
  <si>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f1_pad_y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</si>
  <si>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</si>
  <si>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</si>
  <si>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</si>
  <si>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</si>
  <si>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</si>
  <si>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</si>
  <si>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</si>
  <si>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</si>
  <si>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</si>
  <si>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</si>
  <si>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</si>
  <si>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</si>
  <si>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f2_pad_y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</si>
  <si>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</si>
  <si>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</si>
  <si>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</si>
  <si>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</si>
  <si>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</si>
  <si>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</si>
  <si>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</si>
  <si>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</si>
  <si>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</si>
  <si>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</si>
  <si>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</si>
  <si>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</si>
  <si>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</si>
  <si>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</si>
  <si>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</si>
  <si>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</si>
  <si>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</si>
  <si>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</si>
  <si>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</si>
  <si>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</si>
  <si>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</si>
  <si>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</si>
  <si>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</si>
  <si>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</si>
  <si>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</si>
  <si>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</si>
  <si>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</si>
  <si>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</si>
  <si>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</si>
  <si>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№ гр.'ы 1</t>
  </si>
  <si>
    <t>Z верха
зоны 1</t>
  </si>
  <si>
    <t>№ сеч.
зоны 2</t>
  </si>
  <si>
    <t>TS-GROUP
зоны 2</t>
  </si>
  <si>
    <t>№ гр.'ы 2</t>
  </si>
  <si>
    <t>Z верха
стойки, м</t>
  </si>
  <si>
    <t>Z верха
зоны 2</t>
  </si>
  <si>
    <t>№ сеч.
зоны 3</t>
  </si>
  <si>
    <t>TS-GROUP
зоны 3</t>
  </si>
  <si>
    <t>№ гр.'ы 3</t>
  </si>
  <si>
    <t>Z верха
ригеля, м</t>
  </si>
  <si>
    <t>Z верха
зоны 3</t>
  </si>
  <si>
    <t>№ сеч.
зоны 4</t>
  </si>
  <si>
    <t>TS-GROUP
зоны 4</t>
  </si>
  <si>
    <t>№ гр.'ы 4</t>
  </si>
  <si>
    <t>X рамки 1, м</t>
  </si>
  <si>
    <t>Y подф.
(одна сторона),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</si>
  <si>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</si>
  <si>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</si>
  <si>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</si>
  <si>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</si>
  <si>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</si>
  <si>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</si>
  <si>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</si>
  <si>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</si>
  <si>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</si>
  <si>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</si>
  <si>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</si>
  <si>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</si>
  <si>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</si>
  <si>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</si>
  <si>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</si>
  <si>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</si>
  <si>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</si>
  <si>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</si>
  <si>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</si>
  <si>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</si>
  <si>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</si>
  <si>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</si>
  <si>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</si>
  <si>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</si>
  <si>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</si>
  <si>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</si>
  <si>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</si>
  <si>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</si>
  <si>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</si>
  <si>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</si>
  <si>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</si>
  <si>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</si>
  <si>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cap_area_top</t>
  </si>
  <si>
    <t>cap_area_bot</t>
  </si>
  <si>
    <t>col_area_top</t>
  </si>
  <si>
    <t>col_area_bot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</si>
  <si>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</si>
  <si>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</si>
  <si>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</si>
  <si>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</si>
  <si>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</si>
  <si>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</si>
  <si>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</si>
  <si>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</si>
  <si>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</si>
  <si>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</si>
  <si>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</si>
  <si>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</si>
  <si>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</si>
  <si>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</si>
  <si>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ростверка
вверху, м²</t>
  </si>
  <si>
    <t>S ростверка
внизу, м²</t>
  </si>
  <si>
    <t>S стойки
вверху, м²</t>
  </si>
  <si>
    <t>S стойки
внизу, м²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</si>
  <si>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</si>
  <si>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</si>
  <si>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</si>
  <si>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</si>
  <si>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</si>
  <si>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</si>
  <si>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</si>
  <si>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</si>
  <si>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</si>
  <si>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</si>
  <si>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</si>
  <si>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</si>
  <si>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</si>
  <si>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</si>
  <si>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</si>
  <si>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</si>
  <si>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</si>
  <si>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</si>
  <si>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</si>
  <si>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</si>
  <si>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</si>
  <si>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</si>
  <si>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</si>
  <si>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Подумать, как сделать, чтобы адекватно разбивал</t>
  </si>
  <si>
    <t>Отметки Z ОЧ СПРАВА по ходу возрастания пикетажа, м</t>
  </si>
  <si>
    <t>Не учтено, что может быть две неподвижные оч вдоль</t>
  </si>
  <si>
    <t>Не учтено, что на одной опоре может быть одна из двух неподвижная ОЧ. В таком случае со всей плети нагрузка должна собираться на одну ОЧ</t>
  </si>
  <si>
    <t>node_offset_piles</t>
  </si>
  <si>
    <t>elem_offset_piles</t>
  </si>
  <si>
    <t>Sochi_PK12</t>
  </si>
  <si>
    <t>Цвет ячеек для заполнения</t>
  </si>
  <si>
    <t>Как-то учесть, что 2 рамки, когда опора относится к двум плетям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</si>
  <si>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</si>
  <si>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</si>
  <si>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</si>
  <si>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</si>
  <si>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</si>
  <si>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</si>
  <si>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</si>
  <si>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</si>
  <si>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</si>
  <si>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</si>
  <si>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</si>
  <si>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</si>
  <si>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</si>
  <si>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</si>
  <si>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</si>
  <si>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</si>
  <si>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</si>
  <si>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</si>
  <si>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</si>
  <si>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</si>
  <si>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</si>
  <si>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</si>
  <si>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</si>
  <si>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</si>
  <si>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</si>
  <si>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</si>
  <si>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</si>
  <si>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</si>
  <si>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</si>
  <si>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</si>
  <si>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</si>
  <si>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</si>
  <si>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</si>
  <si>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</si>
  <si>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</si>
  <si>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</si>
  <si>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</si>
  <si>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</si>
  <si>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</si>
  <si>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</si>
  <si>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</si>
  <si>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</si>
  <si>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</si>
  <si>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</si>
  <si>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</si>
  <si>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</si>
  <si>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</si>
  <si>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</si>
  <si>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</si>
  <si>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</si>
  <si>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</si>
  <si>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</si>
  <si>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</si>
  <si>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</si>
  <si>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</si>
  <si>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</si>
  <si>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</si>
  <si>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</si>
  <si>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</si>
  <si>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</si>
  <si>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</si>
  <si>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</si>
  <si>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</si>
  <si>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</si>
  <si>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</si>
  <si>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</si>
  <si>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</si>
  <si>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</si>
  <si>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</si>
  <si>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</si>
  <si>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</si>
  <si>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</si>
  <si>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</si>
  <si>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</si>
  <si>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</si>
  <si>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</si>
  <si>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</si>
  <si>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</si>
  <si>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</si>
  <si>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</si>
  <si>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</si>
  <si>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</si>
  <si>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</si>
  <si>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</si>
  <si>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</si>
  <si>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</si>
  <si>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</si>
  <si>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</si>
  <si>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</si>
  <si>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</si>
  <si>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</si>
  <si>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</si>
  <si>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</si>
  <si>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</si>
  <si>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</si>
  <si>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</si>
  <si>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</si>
  <si>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</si>
  <si>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</si>
  <si>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</si>
  <si>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</si>
  <si>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</si>
  <si>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</si>
  <si>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</si>
  <si>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</si>
  <si>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Можно, чтобы он встречал первую рамку, шел на лист массы и брал первое упоминание опоры 3. Потом доходил до 2 рамки и искал второе упоминание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</si>
  <si>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</si>
  <si>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</si>
  <si>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</si>
  <si>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</si>
  <si>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</si>
  <si>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</si>
  <si>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</si>
  <si>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</si>
  <si>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</si>
  <si>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</si>
  <si>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</si>
  <si>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</si>
  <si>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</si>
  <si>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</si>
  <si>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</si>
  <si>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</si>
  <si>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</si>
  <si>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</si>
  <si>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</si>
  <si>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</si>
  <si>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</si>
  <si>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</si>
  <si>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</si>
  <si>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</si>
  <si>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</si>
  <si>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</si>
  <si>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</si>
  <si>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</si>
  <si>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</si>
  <si>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</si>
  <si>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</si>
  <si>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Ширина ростверка, м</t>
  </si>
  <si>
    <t>cap_width</t>
  </si>
  <si>
    <t>col_width</t>
  </si>
  <si>
    <t>Ширина стойки, м</t>
  </si>
  <si>
    <t>pile_width</t>
  </si>
  <si>
    <t>Ширина сваи,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</si>
</sst>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6" sqref="C6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333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334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ySplit="4" topLeftCell="A5" activePane="bottomLeft" state="frozen"/>
      <selection pane="bottomLeft" activeCell="J6" sqref="J6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5" t="s">
        <v>17</v>
      </c>
      <c r="B1" s="36"/>
      <c r="C1" s="36"/>
      <c r="D1" s="36"/>
      <c r="E1" s="41" t="s">
        <v>18</v>
      </c>
      <c r="F1" s="39"/>
      <c r="G1" s="39"/>
      <c r="H1" s="39"/>
      <c r="I1" s="39"/>
      <c r="J1" s="39"/>
      <c r="K1" s="38" t="s">
        <v>19</v>
      </c>
      <c r="L1" s="39"/>
      <c r="M1" s="39"/>
      <c r="N1" s="39"/>
      <c r="O1" s="39"/>
      <c r="P1" s="39"/>
    </row>
    <row r="2" spans="1:16" ht="29.25" customHeight="1" x14ac:dyDescent="0.25">
      <c r="A2" s="1" t="s">
        <v>20</v>
      </c>
      <c r="B2" s="38" t="s">
        <v>328</v>
      </c>
      <c r="C2" s="39"/>
      <c r="D2" s="40"/>
      <c r="E2" s="41" t="s">
        <v>21</v>
      </c>
      <c r="F2" s="39"/>
      <c r="G2" s="40"/>
      <c r="H2" s="42" t="s">
        <v>22</v>
      </c>
      <c r="I2" s="40"/>
      <c r="J2" s="8" t="s">
        <v>23</v>
      </c>
      <c r="K2" s="38" t="s">
        <v>21</v>
      </c>
      <c r="L2" s="39"/>
      <c r="M2" s="40"/>
      <c r="N2" s="42" t="s">
        <v>22</v>
      </c>
      <c r="O2" s="40"/>
      <c r="P2" s="8" t="s">
        <v>23</v>
      </c>
    </row>
    <row r="3" spans="1:16" ht="31.5" customHeight="1" x14ac:dyDescent="0.25">
      <c r="A3" s="3" t="s">
        <v>24</v>
      </c>
      <c r="B3" s="3" t="s">
        <v>442</v>
      </c>
      <c r="C3" s="3" t="s">
        <v>443</v>
      </c>
      <c r="D3" s="3" t="s">
        <v>444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15.95" customHeight="1" x14ac:dyDescent="0.25">
      <c r="A5" s="33" t="s">
        <v>47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</row>
    <row r="6" spans="1:16" ht="17.100000000000001" customHeight="1" x14ac:dyDescent="0.25">
      <c r="A6" s="21" t="s">
        <v>48</v>
      </c>
      <c r="B6" s="21">
        <v>49.19</v>
      </c>
      <c r="C6" s="21">
        <v>51.45</v>
      </c>
      <c r="D6" s="21">
        <v>53.45</v>
      </c>
      <c r="E6" s="21">
        <v>1</v>
      </c>
      <c r="F6" s="21" t="s">
        <v>49</v>
      </c>
      <c r="G6" s="21" t="s">
        <v>50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49</v>
      </c>
      <c r="M6" s="21" t="s">
        <v>49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51</v>
      </c>
      <c r="B7" s="21">
        <v>12.18</v>
      </c>
      <c r="C7" s="21">
        <v>14.23</v>
      </c>
      <c r="D7" s="21">
        <v>15.5</v>
      </c>
      <c r="E7" s="21">
        <v>1</v>
      </c>
      <c r="F7" s="21" t="s">
        <v>50</v>
      </c>
      <c r="G7" s="21" t="s">
        <v>50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50</v>
      </c>
      <c r="M7" s="21" t="s">
        <v>49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52</v>
      </c>
      <c r="B8" s="21">
        <v>49.19</v>
      </c>
      <c r="C8" s="21">
        <v>51.45</v>
      </c>
      <c r="D8" s="21">
        <v>53.45</v>
      </c>
      <c r="E8" s="21">
        <v>1</v>
      </c>
      <c r="F8" s="21" t="s">
        <v>49</v>
      </c>
      <c r="G8" s="21" t="s">
        <v>50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49</v>
      </c>
      <c r="M8" s="21" t="s">
        <v>49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3" t="s">
        <v>325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</row>
    <row r="10" spans="1:16" x14ac:dyDescent="0.25">
      <c r="A10" s="21" t="s">
        <v>52</v>
      </c>
      <c r="B10" s="21">
        <v>49.19</v>
      </c>
      <c r="C10" s="21">
        <v>51.45</v>
      </c>
      <c r="D10" s="21">
        <v>53.45</v>
      </c>
      <c r="E10" s="21">
        <v>3</v>
      </c>
      <c r="F10" s="21" t="s">
        <v>49</v>
      </c>
      <c r="G10" s="21" t="s">
        <v>50</v>
      </c>
      <c r="H10" s="21">
        <v>950</v>
      </c>
      <c r="I10" s="21">
        <v>140</v>
      </c>
      <c r="J10" s="10">
        <f>IF($F10="fixed",1,Проект!$D$4)</f>
        <v>0.08</v>
      </c>
      <c r="K10" s="21">
        <v>4</v>
      </c>
      <c r="L10" s="21" t="s">
        <v>49</v>
      </c>
      <c r="M10" s="21" t="s">
        <v>49</v>
      </c>
      <c r="N10" s="21">
        <v>870</v>
      </c>
      <c r="O10" s="21">
        <v>130</v>
      </c>
      <c r="P10" s="10">
        <f>IF($F10="fixed",1,Проект!$D$4)</f>
        <v>0.08</v>
      </c>
    </row>
    <row r="11" spans="1:16" x14ac:dyDescent="0.25">
      <c r="A11" s="21" t="s">
        <v>122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50</v>
      </c>
      <c r="G11" s="21" t="s">
        <v>50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50</v>
      </c>
      <c r="M11" s="21" t="s">
        <v>49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326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49</v>
      </c>
      <c r="G12" s="21" t="s">
        <v>50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49</v>
      </c>
      <c r="M12" s="21" t="s">
        <v>49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53</v>
      </c>
      <c r="F15" s="18" t="s">
        <v>329</v>
      </c>
    </row>
    <row r="16" spans="1:16" ht="132" x14ac:dyDescent="0.25">
      <c r="A16" s="6" t="s">
        <v>54</v>
      </c>
      <c r="F16" s="18" t="s">
        <v>330</v>
      </c>
    </row>
    <row r="17" spans="1:1" ht="56.25" x14ac:dyDescent="0.25">
      <c r="A17" s="6" t="s">
        <v>55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A8" sqref="A8:XFD8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38" t="s">
        <v>20</v>
      </c>
      <c r="B1" s="39"/>
      <c r="C1" s="39"/>
      <c r="D1" s="40"/>
      <c r="E1" s="41" t="s">
        <v>56</v>
      </c>
      <c r="F1" s="39"/>
      <c r="G1" s="39"/>
      <c r="H1" s="39"/>
      <c r="I1" s="39"/>
      <c r="J1" s="39"/>
      <c r="K1" s="39"/>
      <c r="L1" s="39"/>
      <c r="M1" s="39"/>
      <c r="N1" s="40"/>
      <c r="O1" s="52" t="s">
        <v>57</v>
      </c>
      <c r="P1" s="53"/>
      <c r="Q1" s="53"/>
      <c r="R1" s="53"/>
      <c r="S1" s="53"/>
      <c r="T1" s="53"/>
      <c r="U1" s="53"/>
      <c r="V1" s="53"/>
      <c r="W1" s="54"/>
      <c r="X1" s="38" t="s">
        <v>58</v>
      </c>
      <c r="Y1" s="39"/>
      <c r="Z1" s="39"/>
      <c r="AA1" s="39"/>
      <c r="AB1" s="39"/>
      <c r="AC1" s="39"/>
      <c r="AD1" s="39"/>
      <c r="AE1" s="39"/>
      <c r="AF1" s="39"/>
      <c r="AG1" s="40"/>
      <c r="AH1" s="49" t="s">
        <v>59</v>
      </c>
      <c r="AI1" s="50"/>
      <c r="AJ1" s="50"/>
      <c r="AK1" s="50"/>
      <c r="AL1" s="50"/>
      <c r="AM1" s="50"/>
      <c r="AN1" s="50"/>
      <c r="AO1" s="50"/>
      <c r="AP1" s="51"/>
    </row>
    <row r="2" spans="1:42" ht="21.95" customHeight="1" x14ac:dyDescent="0.25">
      <c r="A2" s="38" t="s">
        <v>60</v>
      </c>
      <c r="B2" s="39"/>
      <c r="C2" s="39"/>
      <c r="D2" s="40"/>
      <c r="E2" s="7" t="s">
        <v>61</v>
      </c>
      <c r="F2" s="43" t="s">
        <v>62</v>
      </c>
      <c r="G2" s="44"/>
      <c r="H2" s="45"/>
      <c r="I2" s="42" t="s">
        <v>63</v>
      </c>
      <c r="J2" s="39"/>
      <c r="K2" s="40"/>
      <c r="L2" s="46" t="s">
        <v>64</v>
      </c>
      <c r="M2" s="47"/>
      <c r="N2" s="48"/>
      <c r="O2" s="43" t="s">
        <v>65</v>
      </c>
      <c r="P2" s="44"/>
      <c r="Q2" s="45"/>
      <c r="R2" s="42" t="s">
        <v>66</v>
      </c>
      <c r="S2" s="39"/>
      <c r="T2" s="40"/>
      <c r="U2" s="46" t="s">
        <v>67</v>
      </c>
      <c r="V2" s="47"/>
      <c r="W2" s="48"/>
      <c r="X2" s="1" t="s">
        <v>61</v>
      </c>
      <c r="Y2" s="43" t="s">
        <v>62</v>
      </c>
      <c r="Z2" s="44"/>
      <c r="AA2" s="45"/>
      <c r="AB2" s="42" t="s">
        <v>63</v>
      </c>
      <c r="AC2" s="39"/>
      <c r="AD2" s="40"/>
      <c r="AE2" s="46" t="s">
        <v>64</v>
      </c>
      <c r="AF2" s="47"/>
      <c r="AG2" s="48"/>
      <c r="AH2" s="43" t="s">
        <v>65</v>
      </c>
      <c r="AI2" s="44"/>
      <c r="AJ2" s="45"/>
      <c r="AK2" s="42" t="s">
        <v>66</v>
      </c>
      <c r="AL2" s="39"/>
      <c r="AM2" s="40"/>
      <c r="AN2" s="46" t="s">
        <v>67</v>
      </c>
      <c r="AO2" s="47"/>
      <c r="AP2" s="48"/>
    </row>
    <row r="3" spans="1:42" ht="30" customHeight="1" x14ac:dyDescent="0.25">
      <c r="A3" s="3" t="s">
        <v>24</v>
      </c>
      <c r="B3" s="3" t="s">
        <v>68</v>
      </c>
      <c r="C3" s="3" t="s">
        <v>69</v>
      </c>
      <c r="D3" s="3" t="s">
        <v>70</v>
      </c>
      <c r="E3" s="3" t="s">
        <v>25</v>
      </c>
      <c r="F3" s="3" t="s">
        <v>71</v>
      </c>
      <c r="G3" s="3" t="s">
        <v>72</v>
      </c>
      <c r="H3" s="3" t="s">
        <v>73</v>
      </c>
      <c r="I3" s="3" t="s">
        <v>74</v>
      </c>
      <c r="J3" s="3" t="s">
        <v>75</v>
      </c>
      <c r="K3" s="3" t="s">
        <v>76</v>
      </c>
      <c r="L3" s="3" t="s">
        <v>77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84</v>
      </c>
      <c r="T3" s="3" t="s">
        <v>85</v>
      </c>
      <c r="U3" s="3" t="s">
        <v>86</v>
      </c>
      <c r="V3" s="3" t="s">
        <v>87</v>
      </c>
      <c r="W3" s="3" t="s">
        <v>88</v>
      </c>
      <c r="X3" s="3" t="s">
        <v>31</v>
      </c>
      <c r="Y3" s="3" t="s">
        <v>89</v>
      </c>
      <c r="Z3" s="3" t="s">
        <v>90</v>
      </c>
      <c r="AA3" s="3" t="s">
        <v>91</v>
      </c>
      <c r="AB3" s="3" t="s">
        <v>92</v>
      </c>
      <c r="AC3" s="3" t="s">
        <v>93</v>
      </c>
      <c r="AD3" s="3" t="s">
        <v>94</v>
      </c>
      <c r="AE3" s="3" t="s">
        <v>95</v>
      </c>
      <c r="AF3" s="3" t="s">
        <v>96</v>
      </c>
      <c r="AG3" s="3" t="s">
        <v>97</v>
      </c>
      <c r="AH3" s="3" t="s">
        <v>98</v>
      </c>
      <c r="AI3" s="3" t="s">
        <v>99</v>
      </c>
      <c r="AJ3" s="3" t="s">
        <v>100</v>
      </c>
      <c r="AK3" s="3" t="s">
        <v>101</v>
      </c>
      <c r="AL3" s="3" t="s">
        <v>102</v>
      </c>
      <c r="AM3" s="3" t="s">
        <v>103</v>
      </c>
      <c r="AN3" s="3" t="s">
        <v>104</v>
      </c>
      <c r="AO3" s="3" t="s">
        <v>105</v>
      </c>
      <c r="AP3" s="3" t="s">
        <v>106</v>
      </c>
    </row>
    <row r="4" spans="1:42" ht="33.950000000000003" customHeight="1" x14ac:dyDescent="0.25">
      <c r="A4" s="9" t="s">
        <v>37</v>
      </c>
      <c r="B4" s="9" t="s">
        <v>7</v>
      </c>
      <c r="C4" s="9" t="s">
        <v>107</v>
      </c>
      <c r="D4" s="9" t="s">
        <v>108</v>
      </c>
      <c r="E4" s="9" t="s">
        <v>109</v>
      </c>
      <c r="F4" s="9" t="s">
        <v>110</v>
      </c>
      <c r="G4" s="9" t="s">
        <v>111</v>
      </c>
      <c r="H4" s="9" t="s">
        <v>112</v>
      </c>
      <c r="I4" s="9" t="s">
        <v>113</v>
      </c>
      <c r="J4" s="9" t="s">
        <v>114</v>
      </c>
      <c r="K4" s="9" t="s">
        <v>115</v>
      </c>
      <c r="L4" s="9" t="s">
        <v>116</v>
      </c>
      <c r="M4" s="9" t="s">
        <v>117</v>
      </c>
      <c r="N4" s="9" t="s">
        <v>115</v>
      </c>
      <c r="O4" s="9" t="s">
        <v>118</v>
      </c>
      <c r="P4" s="9" t="s">
        <v>65</v>
      </c>
      <c r="Q4" s="9" t="s">
        <v>112</v>
      </c>
      <c r="R4" s="9" t="s">
        <v>119</v>
      </c>
      <c r="S4" s="9" t="s">
        <v>66</v>
      </c>
      <c r="T4" s="9" t="s">
        <v>120</v>
      </c>
      <c r="U4" s="9" t="s">
        <v>121</v>
      </c>
      <c r="V4" s="9" t="s">
        <v>67</v>
      </c>
      <c r="W4" s="9" t="s">
        <v>120</v>
      </c>
      <c r="X4" s="9" t="s">
        <v>109</v>
      </c>
      <c r="Y4" s="9" t="s">
        <v>110</v>
      </c>
      <c r="Z4" s="9" t="s">
        <v>111</v>
      </c>
      <c r="AA4" s="9" t="s">
        <v>112</v>
      </c>
      <c r="AB4" s="9" t="s">
        <v>113</v>
      </c>
      <c r="AC4" s="9" t="s">
        <v>114</v>
      </c>
      <c r="AD4" s="9" t="s">
        <v>115</v>
      </c>
      <c r="AE4" s="9" t="s">
        <v>116</v>
      </c>
      <c r="AF4" s="9" t="s">
        <v>117</v>
      </c>
      <c r="AG4" s="9" t="s">
        <v>115</v>
      </c>
      <c r="AH4" s="9" t="s">
        <v>118</v>
      </c>
      <c r="AI4" s="9" t="s">
        <v>65</v>
      </c>
      <c r="AJ4" s="9" t="s">
        <v>112</v>
      </c>
      <c r="AK4" s="9" t="s">
        <v>119</v>
      </c>
      <c r="AL4" s="9" t="s">
        <v>66</v>
      </c>
      <c r="AM4" s="9" t="s">
        <v>120</v>
      </c>
      <c r="AN4" s="9" t="s">
        <v>121</v>
      </c>
      <c r="AO4" s="9" t="s">
        <v>67</v>
      </c>
      <c r="AP4" s="9" t="s">
        <v>120</v>
      </c>
    </row>
    <row r="5" spans="1:42" ht="17.100000000000001" customHeight="1" x14ac:dyDescent="0.25">
      <c r="A5" s="21" t="s">
        <v>122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2720</v>
      </c>
      <c r="G5" s="17">
        <f ca="1">F5/B5</f>
        <v>277.38119518662046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390</v>
      </c>
      <c r="P5" s="17">
        <f ca="1">O5/B5</f>
        <v>39.771568427493378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2387</v>
      </c>
      <c r="Z5" s="17">
        <f ca="1">Y5/B5</f>
        <v>243.42239445237612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355</v>
      </c>
      <c r="AI5" s="17">
        <f ca="1">AH5/B5</f>
        <v>36.2023251070773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52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69.600000000000009</v>
      </c>
      <c r="Z6" s="17">
        <f ca="1">Y6/B6</f>
        <v>7.0976952885988185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10.4</v>
      </c>
      <c r="AI6" s="17">
        <f ca="1">AH6/B6</f>
        <v>1.0605751580664899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52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76</v>
      </c>
      <c r="G7" s="17">
        <f ca="1">F7/B7</f>
        <v>7.750356924332042</v>
      </c>
      <c r="H7" s="12">
        <f ca="1">SUMPRODUCT((INDIRECT("Плеть!A"&amp;$C7&amp;":A"&amp;$D7)=$A7)*INDIRECT("Плеть!b"&amp;$C7&amp;":b"&amp;$D7))</f>
        <v>49.19</v>
      </c>
      <c r="I7" s="12">
        <f ca="1">SUMPRODUCT((INDIRECT("Плеть!A"&amp;$C7&amp;":A"&amp;$D7)=$A7)*INDIRECT("Плеть!h"&amp;$C7&amp;":h"&amp;$D7))</f>
        <v>950</v>
      </c>
      <c r="J7" s="17">
        <f ca="1">I7/B7</f>
        <v>96.879461554150524</v>
      </c>
      <c r="K7" s="12">
        <f ca="1">SUMPRODUCT((INDIRECT("Плеть!A"&amp;$C7&amp;":A"&amp;$D7)=$A7)*INDIRECT("Плеть!c"&amp;$C7&amp;":c"&amp;$D7))</f>
        <v>51.45</v>
      </c>
      <c r="L7" s="12">
        <f ca="1">SUMPRODUCT((INDIRECT("Плеть!A"&amp;$C7&amp;":A"&amp;$D7)=$A7)*INDIRECT("Плеть!h"&amp;$C7&amp;":h"&amp;$D7))</f>
        <v>950</v>
      </c>
      <c r="M7" s="17">
        <f ca="1">L7/B7</f>
        <v>96.879461554150524</v>
      </c>
      <c r="N7" s="12">
        <f ca="1">SUMPRODUCT((INDIRECT("Плеть!A"&amp;$C7&amp;":A"&amp;$D7)=$A7)*INDIRECT("Плеть!c"&amp;$C7&amp;":c"&amp;$D7))</f>
        <v>51.45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11.200000000000001</v>
      </c>
      <c r="P7" s="17">
        <f ca="1">O7/B7</f>
        <v>1.1421578625331432</v>
      </c>
      <c r="Q7" s="12">
        <f ca="1">SUMPRODUCT((INDIRECT("Плеть!A"&amp;$C7&amp;":A"&amp;$D7)=$A7)*INDIRECT("Плеть!b"&amp;$C7&amp;":b"&amp;$D7))</f>
        <v>49.19</v>
      </c>
      <c r="R7" s="12">
        <f ca="1">SUMPRODUCT((INDIRECT("Плеть!A"&amp;$C7&amp;":A"&amp;$D7)=$A7)*INDIRECT("Плеть!i"&amp;$C7&amp;":i"&amp;$D7))</f>
        <v>140</v>
      </c>
      <c r="S7" s="17">
        <f ca="1">R7/B7</f>
        <v>14.276973281664288</v>
      </c>
      <c r="T7" s="12">
        <f ca="1">SUMPRODUCT((INDIRECT("Плеть!A"&amp;$C7&amp;":A"&amp;$D7)=$A7)*INDIRECT("Плеть!d"&amp;$C7&amp;":d"&amp;$D7))</f>
        <v>53.45</v>
      </c>
      <c r="U7" s="12">
        <f ca="1">SUMPRODUCT((INDIRECT("Плеть!A"&amp;$C7&amp;":A"&amp;$D7)=$A7)*INDIRECT("Плеть!i"&amp;$C7&amp;":i"&amp;$D7))</f>
        <v>140</v>
      </c>
      <c r="V7" s="17">
        <f ca="1">U7/B7</f>
        <v>14.276973281664288</v>
      </c>
      <c r="W7" s="12">
        <f ca="1">SUMPRODUCT((INDIRECT("Плеть!A"&amp;$C7&amp;":A"&amp;$D7)=$A7)*INDIRECT("Плеть!d"&amp;$C7&amp;":d"&amp;$D7))</f>
        <v>53.45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69.600000000000009</v>
      </c>
      <c r="Z7" s="17">
        <f ca="1">Y7/B7</f>
        <v>7.0976952885988185</v>
      </c>
      <c r="AA7" s="12">
        <f ca="1">H7</f>
        <v>49.19</v>
      </c>
      <c r="AB7" s="12">
        <f ca="1">SUMPRODUCT((INDIRECT("Плеть!A"&amp;$C7&amp;":A"&amp;$D7)=$A7)*INDIRECT("Плеть!n"&amp;$C7&amp;":n"&amp;$D7))</f>
        <v>870</v>
      </c>
      <c r="AC7" s="17">
        <f ca="1">AB7/B7</f>
        <v>88.721191107485225</v>
      </c>
      <c r="AD7" s="12">
        <f ca="1">K7</f>
        <v>51.45</v>
      </c>
      <c r="AE7" s="12">
        <f ca="1">SUMPRODUCT((INDIRECT("Плеть!A"&amp;$C7&amp;":A"&amp;$D7)=$A7)*INDIRECT("Плеть!n"&amp;$C7&amp;":n"&amp;$D7))</f>
        <v>870</v>
      </c>
      <c r="AF7" s="17">
        <f ca="1">AE7/B7</f>
        <v>88.721191107485225</v>
      </c>
      <c r="AG7" s="12">
        <f ca="1">N7</f>
        <v>51.45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10.4</v>
      </c>
      <c r="AI7" s="17">
        <f ca="1">AH7/B7</f>
        <v>1.0605751580664899</v>
      </c>
      <c r="AJ7" s="12">
        <f ca="1">Q7</f>
        <v>49.19</v>
      </c>
      <c r="AK7" s="12">
        <f ca="1">SUMPRODUCT((INDIRECT("Плеть!A"&amp;$C7&amp;":A"&amp;$D7)=$A7)*INDIRECT("Плеть!o"&amp;$C7&amp;":o"&amp;$D7))</f>
        <v>130</v>
      </c>
      <c r="AL7" s="17">
        <f ca="1">AK7/B7</f>
        <v>13.257189475831124</v>
      </c>
      <c r="AM7" s="12">
        <f ca="1">T7</f>
        <v>53.45</v>
      </c>
      <c r="AN7" s="12">
        <f ca="1">SUMPRODUCT((INDIRECT("Плеть!A"&amp;$C7&amp;":A"&amp;$D7)=$A7)*INDIRECT("Плеть!o"&amp;$C7&amp;":o"&amp;$D7))</f>
        <v>130</v>
      </c>
      <c r="AO7" s="17">
        <f ca="1">AN7/B7</f>
        <v>13.257189475831124</v>
      </c>
      <c r="AP7" s="12">
        <f ca="1">W7</f>
        <v>53.45</v>
      </c>
    </row>
    <row r="8" spans="1:42" x14ac:dyDescent="0.25">
      <c r="A8" s="27"/>
      <c r="B8" s="29"/>
      <c r="C8" s="27"/>
      <c r="D8" s="27"/>
      <c r="E8" s="28"/>
      <c r="F8" s="30"/>
      <c r="G8" s="31"/>
      <c r="H8" s="30"/>
      <c r="I8" s="30"/>
      <c r="J8" s="31"/>
      <c r="K8" s="30"/>
      <c r="L8" s="30"/>
      <c r="M8" s="31"/>
      <c r="N8" s="30"/>
      <c r="O8" s="30"/>
      <c r="P8" s="31"/>
      <c r="Q8" s="30"/>
      <c r="R8" s="30"/>
      <c r="S8" s="31"/>
      <c r="T8" s="30"/>
      <c r="U8" s="30"/>
      <c r="V8" s="31"/>
      <c r="W8" s="30"/>
      <c r="X8" s="28"/>
      <c r="Y8" s="30"/>
      <c r="Z8" s="31"/>
      <c r="AA8" s="30"/>
      <c r="AB8" s="30"/>
      <c r="AC8" s="31"/>
      <c r="AD8" s="30"/>
      <c r="AE8" s="30"/>
      <c r="AF8" s="31"/>
      <c r="AG8" s="30"/>
      <c r="AH8" s="30"/>
      <c r="AI8" s="31"/>
      <c r="AJ8" s="30"/>
      <c r="AK8" s="30"/>
      <c r="AL8" s="31"/>
      <c r="AM8" s="30"/>
      <c r="AN8" s="30"/>
      <c r="AO8" s="31"/>
      <c r="AP8" s="30"/>
    </row>
    <row r="9" spans="1:42" ht="67.5" x14ac:dyDescent="0.25">
      <c r="A9" s="6" t="s">
        <v>123</v>
      </c>
    </row>
    <row r="10" spans="1:42" ht="67.5" x14ac:dyDescent="0.25">
      <c r="A10" s="6" t="s">
        <v>124</v>
      </c>
    </row>
    <row r="11" spans="1:42" ht="67.5" x14ac:dyDescent="0.25">
      <c r="A11" s="6" t="s">
        <v>125</v>
      </c>
    </row>
    <row r="12" spans="1:42" ht="78.75" x14ac:dyDescent="0.25">
      <c r="A12" s="6" t="s">
        <v>126</v>
      </c>
    </row>
    <row r="13" spans="1:42" ht="90" x14ac:dyDescent="0.25">
      <c r="A13" s="6" t="s">
        <v>127</v>
      </c>
    </row>
  </sheetData>
  <mergeCells count="18"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  <mergeCell ref="A1:D1"/>
    <mergeCell ref="AB2:AD2"/>
    <mergeCell ref="I2:K2"/>
    <mergeCell ref="Y2:AA2"/>
    <mergeCell ref="F2:H2"/>
    <mergeCell ref="A2:D2"/>
    <mergeCell ref="L2:N2"/>
    <mergeCell ref="E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M14"/>
  <sheetViews>
    <sheetView tabSelected="1" workbookViewId="0">
      <pane ySplit="3" topLeftCell="A4" activePane="bottomLeft" state="frozen"/>
      <selection pane="bottomLeft" activeCell="D7" sqref="D7"/>
    </sheetView>
  </sheetViews>
  <sheetFormatPr defaultRowHeight="15" x14ac:dyDescent="0.25"/>
  <cols>
    <col min="2" max="87" width="12" customWidth="1"/>
  </cols>
  <sheetData>
    <row r="1" spans="1:91" ht="27.95" customHeight="1" x14ac:dyDescent="0.25">
      <c r="A1" s="16" t="s">
        <v>445</v>
      </c>
      <c r="B1" s="41" t="s">
        <v>20</v>
      </c>
      <c r="C1" s="39"/>
      <c r="D1" s="39"/>
      <c r="E1" s="39"/>
      <c r="F1" s="39"/>
      <c r="G1" s="40"/>
      <c r="H1" s="60" t="s">
        <v>129</v>
      </c>
      <c r="I1" s="61"/>
      <c r="J1" s="61"/>
      <c r="K1" s="61"/>
      <c r="L1" s="61"/>
      <c r="M1" s="61"/>
      <c r="N1" s="61"/>
      <c r="O1" s="61"/>
      <c r="P1" s="61"/>
      <c r="Q1" s="61"/>
      <c r="R1" s="61"/>
      <c r="S1" s="62"/>
      <c r="T1" s="42" t="s">
        <v>130</v>
      </c>
      <c r="U1" s="39"/>
      <c r="V1" s="39"/>
      <c r="W1" s="39"/>
      <c r="X1" s="39"/>
      <c r="Y1" s="39"/>
      <c r="Z1" s="39"/>
      <c r="AA1" s="39"/>
      <c r="AB1" s="39"/>
      <c r="AC1" s="40"/>
      <c r="AD1" s="38" t="s">
        <v>131</v>
      </c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40"/>
      <c r="AR1" s="57" t="s">
        <v>132</v>
      </c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9"/>
      <c r="BJ1" s="42" t="s">
        <v>133</v>
      </c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40"/>
      <c r="BW1" s="41" t="s">
        <v>128</v>
      </c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40"/>
      <c r="CJ1" s="55" t="s">
        <v>453</v>
      </c>
      <c r="CK1" s="56"/>
      <c r="CL1" s="56"/>
      <c r="CM1" s="56"/>
    </row>
    <row r="2" spans="1:91" ht="32.25" customHeight="1" x14ac:dyDescent="0.25">
      <c r="A2" s="3" t="s">
        <v>446</v>
      </c>
      <c r="B2" s="3" t="s">
        <v>24</v>
      </c>
      <c r="C2" s="3" t="s">
        <v>134</v>
      </c>
      <c r="D2" s="3" t="s">
        <v>69</v>
      </c>
      <c r="E2" s="3" t="s">
        <v>70</v>
      </c>
      <c r="F2" s="3" t="s">
        <v>135</v>
      </c>
      <c r="G2" s="3" t="s">
        <v>136</v>
      </c>
      <c r="H2" s="3" t="s">
        <v>137</v>
      </c>
      <c r="I2" s="3" t="s">
        <v>138</v>
      </c>
      <c r="J2" s="3" t="s">
        <v>139</v>
      </c>
      <c r="K2" s="3" t="s">
        <v>140</v>
      </c>
      <c r="L2" s="3" t="s">
        <v>141</v>
      </c>
      <c r="M2" s="3" t="s">
        <v>142</v>
      </c>
      <c r="N2" s="3" t="s">
        <v>143</v>
      </c>
      <c r="O2" s="3" t="s">
        <v>144</v>
      </c>
      <c r="P2" s="3" t="s">
        <v>145</v>
      </c>
      <c r="Q2" s="3" t="s">
        <v>146</v>
      </c>
      <c r="R2" s="3" t="s">
        <v>331</v>
      </c>
      <c r="S2" s="3" t="s">
        <v>332</v>
      </c>
      <c r="T2" s="3" t="s">
        <v>147</v>
      </c>
      <c r="U2" s="3" t="s">
        <v>148</v>
      </c>
      <c r="V2" s="3" t="s">
        <v>149</v>
      </c>
      <c r="W2" s="3" t="s">
        <v>150</v>
      </c>
      <c r="X2" s="3" t="s">
        <v>151</v>
      </c>
      <c r="Y2" s="3" t="s">
        <v>152</v>
      </c>
      <c r="Z2" s="3" t="s">
        <v>153</v>
      </c>
      <c r="AA2" s="3" t="s">
        <v>154</v>
      </c>
      <c r="AB2" s="3" t="s">
        <v>155</v>
      </c>
      <c r="AC2" s="3" t="s">
        <v>156</v>
      </c>
      <c r="AD2" s="3" t="s">
        <v>157</v>
      </c>
      <c r="AE2" s="3" t="s">
        <v>158</v>
      </c>
      <c r="AF2" s="3" t="s">
        <v>159</v>
      </c>
      <c r="AG2" s="3" t="s">
        <v>160</v>
      </c>
      <c r="AH2" s="3" t="s">
        <v>161</v>
      </c>
      <c r="AI2" s="3" t="s">
        <v>162</v>
      </c>
      <c r="AJ2" s="3" t="s">
        <v>163</v>
      </c>
      <c r="AK2" s="3" t="s">
        <v>164</v>
      </c>
      <c r="AL2" s="3" t="s">
        <v>165</v>
      </c>
      <c r="AM2" s="3" t="s">
        <v>166</v>
      </c>
      <c r="AN2" s="3" t="s">
        <v>167</v>
      </c>
      <c r="AO2" s="3" t="s">
        <v>168</v>
      </c>
      <c r="AP2" s="3" t="s">
        <v>169</v>
      </c>
      <c r="AQ2" s="3" t="s">
        <v>170</v>
      </c>
      <c r="AR2" s="3" t="s">
        <v>171</v>
      </c>
      <c r="AS2" s="3" t="s">
        <v>172</v>
      </c>
      <c r="AT2" s="3" t="s">
        <v>173</v>
      </c>
      <c r="AU2" s="3" t="s">
        <v>174</v>
      </c>
      <c r="AV2" s="3" t="s">
        <v>175</v>
      </c>
      <c r="AW2" s="3" t="s">
        <v>176</v>
      </c>
      <c r="AX2" s="3" t="s">
        <v>177</v>
      </c>
      <c r="AY2" s="3" t="s">
        <v>178</v>
      </c>
      <c r="AZ2" s="3" t="s">
        <v>179</v>
      </c>
      <c r="BA2" s="3" t="s">
        <v>180</v>
      </c>
      <c r="BB2" s="3" t="s">
        <v>181</v>
      </c>
      <c r="BC2" s="3" t="s">
        <v>182</v>
      </c>
      <c r="BD2" s="3" t="s">
        <v>183</v>
      </c>
      <c r="BE2" s="3" t="s">
        <v>184</v>
      </c>
      <c r="BF2" s="3" t="s">
        <v>185</v>
      </c>
      <c r="BG2" s="3" t="s">
        <v>186</v>
      </c>
      <c r="BH2" s="3" t="s">
        <v>187</v>
      </c>
      <c r="BI2" s="3" t="s">
        <v>188</v>
      </c>
      <c r="BJ2" s="3" t="s">
        <v>189</v>
      </c>
      <c r="BK2" s="3" t="s">
        <v>190</v>
      </c>
      <c r="BL2" s="3" t="s">
        <v>191</v>
      </c>
      <c r="BM2" s="3" t="s">
        <v>192</v>
      </c>
      <c r="BN2" s="3" t="s">
        <v>193</v>
      </c>
      <c r="BO2" s="3" t="s">
        <v>194</v>
      </c>
      <c r="BP2" s="3" t="s">
        <v>195</v>
      </c>
      <c r="BQ2" s="3" t="s">
        <v>196</v>
      </c>
      <c r="BR2" s="3" t="s">
        <v>197</v>
      </c>
      <c r="BS2" s="3" t="s">
        <v>198</v>
      </c>
      <c r="BT2" s="3" t="s">
        <v>199</v>
      </c>
      <c r="BU2" s="3" t="s">
        <v>200</v>
      </c>
      <c r="BV2" s="3" t="s">
        <v>201</v>
      </c>
      <c r="BW2" s="3" t="s">
        <v>202</v>
      </c>
      <c r="BX2" s="3" t="s">
        <v>203</v>
      </c>
      <c r="BY2" s="3" t="s">
        <v>204</v>
      </c>
      <c r="BZ2" s="3" t="s">
        <v>205</v>
      </c>
      <c r="CA2" s="3" t="s">
        <v>206</v>
      </c>
      <c r="CB2" s="3" t="s">
        <v>207</v>
      </c>
      <c r="CC2" s="3" t="s">
        <v>208</v>
      </c>
      <c r="CD2" s="3" t="s">
        <v>209</v>
      </c>
      <c r="CE2" s="3" t="s">
        <v>210</v>
      </c>
      <c r="CF2" s="3" t="s">
        <v>211</v>
      </c>
      <c r="CG2" s="3" t="s">
        <v>212</v>
      </c>
      <c r="CH2" s="3" t="s">
        <v>213</v>
      </c>
      <c r="CI2" s="3" t="s">
        <v>214</v>
      </c>
      <c r="CJ2" s="3" t="s">
        <v>454</v>
      </c>
      <c r="CK2" s="3" t="s">
        <v>455</v>
      </c>
      <c r="CL2" s="3" t="s">
        <v>456</v>
      </c>
      <c r="CM2" s="3" t="s">
        <v>457</v>
      </c>
    </row>
    <row r="3" spans="1:91" ht="36" customHeight="1" x14ac:dyDescent="0.25">
      <c r="A3" s="9" t="s">
        <v>447</v>
      </c>
      <c r="B3" s="9" t="s">
        <v>37</v>
      </c>
      <c r="C3" s="9" t="s">
        <v>215</v>
      </c>
      <c r="D3" s="9" t="s">
        <v>107</v>
      </c>
      <c r="E3" s="9" t="s">
        <v>108</v>
      </c>
      <c r="F3" s="9" t="s">
        <v>216</v>
      </c>
      <c r="G3" s="9" t="s">
        <v>217</v>
      </c>
      <c r="H3" s="9" t="s">
        <v>218</v>
      </c>
      <c r="I3" s="9" t="s">
        <v>219</v>
      </c>
      <c r="J3" s="9" t="s">
        <v>220</v>
      </c>
      <c r="K3" s="9" t="s">
        <v>221</v>
      </c>
      <c r="L3" s="9" t="s">
        <v>222</v>
      </c>
      <c r="M3" s="9" t="s">
        <v>223</v>
      </c>
      <c r="N3" s="9" t="s">
        <v>224</v>
      </c>
      <c r="O3" s="9" t="s">
        <v>225</v>
      </c>
      <c r="P3" s="9" t="s">
        <v>226</v>
      </c>
      <c r="Q3" s="9" t="s">
        <v>227</v>
      </c>
      <c r="R3" s="9" t="s">
        <v>462</v>
      </c>
      <c r="S3" s="9" t="s">
        <v>463</v>
      </c>
      <c r="T3" s="9" t="s">
        <v>228</v>
      </c>
      <c r="U3" s="9" t="s">
        <v>229</v>
      </c>
      <c r="V3" s="9" t="s">
        <v>230</v>
      </c>
      <c r="W3" s="9" t="s">
        <v>231</v>
      </c>
      <c r="X3" s="9" t="s">
        <v>232</v>
      </c>
      <c r="Y3" s="9" t="s">
        <v>233</v>
      </c>
      <c r="Z3" s="9" t="s">
        <v>234</v>
      </c>
      <c r="AA3" s="9" t="s">
        <v>235</v>
      </c>
      <c r="AB3" s="9" t="s">
        <v>236</v>
      </c>
      <c r="AC3" s="9" t="s">
        <v>237</v>
      </c>
      <c r="AD3" s="9" t="s">
        <v>238</v>
      </c>
      <c r="AE3" s="9" t="s">
        <v>229</v>
      </c>
      <c r="AF3" s="9" t="s">
        <v>230</v>
      </c>
      <c r="AG3" s="9" t="s">
        <v>231</v>
      </c>
      <c r="AH3" s="9" t="s">
        <v>232</v>
      </c>
      <c r="AI3" s="9" t="s">
        <v>233</v>
      </c>
      <c r="AJ3" s="9" t="s">
        <v>234</v>
      </c>
      <c r="AK3" s="9" t="s">
        <v>235</v>
      </c>
      <c r="AL3" s="9" t="s">
        <v>236</v>
      </c>
      <c r="AM3" s="9" t="s">
        <v>237</v>
      </c>
      <c r="AN3" s="9" t="s">
        <v>239</v>
      </c>
      <c r="AO3" s="9" t="s">
        <v>240</v>
      </c>
      <c r="AP3" s="9" t="s">
        <v>241</v>
      </c>
      <c r="AQ3" s="9" t="s">
        <v>242</v>
      </c>
      <c r="AR3" s="9" t="s">
        <v>243</v>
      </c>
      <c r="AS3" s="9" t="s">
        <v>229</v>
      </c>
      <c r="AT3" s="9" t="s">
        <v>230</v>
      </c>
      <c r="AU3" s="9" t="s">
        <v>231</v>
      </c>
      <c r="AV3" s="9" t="s">
        <v>232</v>
      </c>
      <c r="AW3" s="9" t="s">
        <v>233</v>
      </c>
      <c r="AX3" s="9" t="s">
        <v>234</v>
      </c>
      <c r="AY3" s="9" t="s">
        <v>235</v>
      </c>
      <c r="AZ3" s="9" t="s">
        <v>236</v>
      </c>
      <c r="BA3" s="9" t="s">
        <v>237</v>
      </c>
      <c r="BB3" s="9" t="s">
        <v>239</v>
      </c>
      <c r="BC3" s="9" t="s">
        <v>240</v>
      </c>
      <c r="BD3" s="9" t="s">
        <v>241</v>
      </c>
      <c r="BE3" s="9" t="s">
        <v>242</v>
      </c>
      <c r="BF3" s="9" t="s">
        <v>244</v>
      </c>
      <c r="BG3" s="9" t="s">
        <v>245</v>
      </c>
      <c r="BH3" s="9" t="s">
        <v>246</v>
      </c>
      <c r="BI3" s="9" t="s">
        <v>247</v>
      </c>
      <c r="BJ3" s="9" t="s">
        <v>248</v>
      </c>
      <c r="BK3" s="9" t="s">
        <v>249</v>
      </c>
      <c r="BL3" s="9" t="s">
        <v>250</v>
      </c>
      <c r="BM3" s="9" t="s">
        <v>251</v>
      </c>
      <c r="BN3" s="9" t="s">
        <v>252</v>
      </c>
      <c r="BO3" s="9" t="s">
        <v>253</v>
      </c>
      <c r="BP3" s="9" t="s">
        <v>254</v>
      </c>
      <c r="BQ3" s="9" t="s">
        <v>255</v>
      </c>
      <c r="BR3" s="9" t="s">
        <v>256</v>
      </c>
      <c r="BS3" s="9" t="s">
        <v>257</v>
      </c>
      <c r="BT3" s="9" t="s">
        <v>258</v>
      </c>
      <c r="BU3" s="9" t="s">
        <v>259</v>
      </c>
      <c r="BV3" s="9" t="s">
        <v>260</v>
      </c>
      <c r="BW3" s="9" t="s">
        <v>261</v>
      </c>
      <c r="BX3" s="9" t="s">
        <v>249</v>
      </c>
      <c r="BY3" s="9" t="s">
        <v>262</v>
      </c>
      <c r="BZ3" s="9" t="s">
        <v>263</v>
      </c>
      <c r="CA3" s="9" t="s">
        <v>252</v>
      </c>
      <c r="CB3" s="9" t="s">
        <v>253</v>
      </c>
      <c r="CC3" s="9" t="s">
        <v>264</v>
      </c>
      <c r="CD3" s="9" t="s">
        <v>255</v>
      </c>
      <c r="CE3" s="9" t="s">
        <v>256</v>
      </c>
      <c r="CF3" s="9" t="s">
        <v>257</v>
      </c>
      <c r="CG3" s="9" t="s">
        <v>258</v>
      </c>
      <c r="CH3" s="9" t="s">
        <v>259</v>
      </c>
      <c r="CI3" s="9" t="s">
        <v>265</v>
      </c>
      <c r="CJ3" s="9" t="s">
        <v>458</v>
      </c>
      <c r="CK3" s="9" t="s">
        <v>459</v>
      </c>
      <c r="CL3" s="9" t="s">
        <v>460</v>
      </c>
      <c r="CM3" s="9" t="s">
        <v>461</v>
      </c>
    </row>
    <row r="4" spans="1:91" ht="17.100000000000001" customHeight="1" x14ac:dyDescent="0.25">
      <c r="A4" s="5" t="s">
        <v>267</v>
      </c>
      <c r="B4" s="21" t="s">
        <v>122</v>
      </c>
      <c r="C4" s="21" t="s">
        <v>448</v>
      </c>
      <c r="D4" s="21">
        <v>10</v>
      </c>
      <c r="E4" s="21">
        <v>12</v>
      </c>
      <c r="F4" s="10" t="s">
        <v>450</v>
      </c>
      <c r="G4" s="10" t="s">
        <v>451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268</v>
      </c>
      <c r="Y4" s="24">
        <v>1</v>
      </c>
      <c r="Z4" s="24"/>
      <c r="AA4" s="24"/>
      <c r="AB4" s="24" t="s">
        <v>267</v>
      </c>
      <c r="AC4" s="24"/>
      <c r="AD4" s="21">
        <v>15.41</v>
      </c>
      <c r="AE4" s="21">
        <v>0.5</v>
      </c>
      <c r="AF4" s="21">
        <v>3</v>
      </c>
      <c r="AG4" s="21">
        <v>1</v>
      </c>
      <c r="AH4" s="24" t="s">
        <v>267</v>
      </c>
      <c r="AI4" s="24"/>
      <c r="AJ4" s="24"/>
      <c r="AK4" s="24"/>
      <c r="AL4" s="24" t="s">
        <v>267</v>
      </c>
      <c r="AM4" s="24"/>
      <c r="AN4" s="24"/>
      <c r="AO4" s="24"/>
      <c r="AP4" s="24" t="s">
        <v>267</v>
      </c>
      <c r="AQ4" s="24"/>
      <c r="AR4" s="21">
        <v>16.510000000000002</v>
      </c>
      <c r="AS4" s="21">
        <v>0.4</v>
      </c>
      <c r="AT4" s="21">
        <v>3</v>
      </c>
      <c r="AU4" s="21">
        <v>4</v>
      </c>
      <c r="AV4" s="24" t="s">
        <v>267</v>
      </c>
      <c r="AW4" s="24"/>
      <c r="AX4" s="24">
        <v>15.81</v>
      </c>
      <c r="AY4" s="24">
        <v>3</v>
      </c>
      <c r="AZ4" s="24" t="s">
        <v>267</v>
      </c>
      <c r="BA4" s="24"/>
      <c r="BB4" s="24">
        <v>16.21</v>
      </c>
      <c r="BC4" s="24">
        <v>5</v>
      </c>
      <c r="BD4" s="24" t="s">
        <v>267</v>
      </c>
      <c r="BE4" s="24"/>
      <c r="BF4" s="24"/>
      <c r="BG4" s="24"/>
      <c r="BH4" s="24" t="s">
        <v>267</v>
      </c>
      <c r="BI4" s="24"/>
      <c r="BJ4" s="21">
        <v>0</v>
      </c>
      <c r="BK4" s="21">
        <v>1.9</v>
      </c>
      <c r="BL4" s="5">
        <f>AR4</f>
        <v>16.510000000000002</v>
      </c>
      <c r="BM4" s="21">
        <v>11.88</v>
      </c>
      <c r="BN4" s="21">
        <v>7</v>
      </c>
      <c r="BO4" s="21">
        <v>1</v>
      </c>
      <c r="BP4" s="21">
        <f>BM4</f>
        <v>11.88</v>
      </c>
      <c r="BQ4" s="21">
        <v>8</v>
      </c>
      <c r="BR4" s="21">
        <v>4</v>
      </c>
      <c r="BS4" s="21">
        <v>11</v>
      </c>
      <c r="BT4" s="21">
        <v>4</v>
      </c>
      <c r="BU4" s="21">
        <v>1</v>
      </c>
      <c r="BV4" s="21" t="s">
        <v>267</v>
      </c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21">
        <v>0</v>
      </c>
      <c r="CK4" s="21">
        <v>0</v>
      </c>
      <c r="CL4" s="21">
        <v>0</v>
      </c>
      <c r="CM4" s="21">
        <v>0</v>
      </c>
    </row>
    <row r="5" spans="1:91" ht="17.100000000000001" customHeight="1" x14ac:dyDescent="0.25">
      <c r="A5" s="5" t="s">
        <v>268</v>
      </c>
      <c r="B5" s="21" t="s">
        <v>52</v>
      </c>
      <c r="C5" s="21" t="s">
        <v>266</v>
      </c>
      <c r="D5" s="21">
        <v>10</v>
      </c>
      <c r="E5" s="21">
        <v>12</v>
      </c>
      <c r="F5" s="10"/>
      <c r="G5" s="10"/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/>
      <c r="Q5" s="24"/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268</v>
      </c>
      <c r="Y5" s="24">
        <v>1</v>
      </c>
      <c r="Z5" s="24"/>
      <c r="AA5" s="24"/>
      <c r="AB5" s="24" t="s">
        <v>267</v>
      </c>
      <c r="AC5" s="24"/>
      <c r="AD5" s="21">
        <v>15.41</v>
      </c>
      <c r="AE5" s="21">
        <v>0.5</v>
      </c>
      <c r="AF5" s="21">
        <v>3</v>
      </c>
      <c r="AG5" s="21">
        <v>1</v>
      </c>
      <c r="AH5" s="24" t="s">
        <v>267</v>
      </c>
      <c r="AI5" s="24"/>
      <c r="AJ5" s="24"/>
      <c r="AK5" s="24"/>
      <c r="AL5" s="24" t="s">
        <v>267</v>
      </c>
      <c r="AM5" s="24"/>
      <c r="AN5" s="24"/>
      <c r="AO5" s="24"/>
      <c r="AP5" s="24" t="s">
        <v>267</v>
      </c>
      <c r="AQ5" s="24"/>
      <c r="AR5" s="21">
        <v>16.510000000000002</v>
      </c>
      <c r="AS5" s="21">
        <v>0.4</v>
      </c>
      <c r="AT5" s="21">
        <v>3</v>
      </c>
      <c r="AU5" s="21">
        <v>4</v>
      </c>
      <c r="AV5" s="24" t="s">
        <v>267</v>
      </c>
      <c r="AW5" s="24"/>
      <c r="AX5" s="24">
        <v>15.81</v>
      </c>
      <c r="AY5" s="24">
        <v>3</v>
      </c>
      <c r="AZ5" s="24" t="s">
        <v>267</v>
      </c>
      <c r="BA5" s="24"/>
      <c r="BB5" s="24">
        <v>16.21</v>
      </c>
      <c r="BC5" s="24">
        <v>5</v>
      </c>
      <c r="BD5" s="24" t="s">
        <v>267</v>
      </c>
      <c r="BE5" s="24"/>
      <c r="BF5" s="24"/>
      <c r="BG5" s="24"/>
      <c r="BH5" s="24" t="s">
        <v>267</v>
      </c>
      <c r="BI5" s="24"/>
      <c r="BJ5" s="21">
        <v>1</v>
      </c>
      <c r="BK5" s="21">
        <v>1.9</v>
      </c>
      <c r="BL5" s="5">
        <f>AR5</f>
        <v>16.510000000000002</v>
      </c>
      <c r="BM5" s="21">
        <v>11.88</v>
      </c>
      <c r="BN5" s="21">
        <v>7</v>
      </c>
      <c r="BO5" s="21">
        <v>1</v>
      </c>
      <c r="BP5" s="21">
        <f>BM5</f>
        <v>11.88</v>
      </c>
      <c r="BQ5" s="21">
        <v>8</v>
      </c>
      <c r="BR5" s="21">
        <v>4</v>
      </c>
      <c r="BS5" s="21">
        <v>11</v>
      </c>
      <c r="BT5" s="21">
        <v>4</v>
      </c>
      <c r="BU5" s="21">
        <v>1</v>
      </c>
      <c r="BV5" s="21" t="s">
        <v>267</v>
      </c>
      <c r="BW5" s="21">
        <v>-1</v>
      </c>
      <c r="BX5" s="21">
        <v>1.9</v>
      </c>
      <c r="BY5" s="5">
        <f>AR5</f>
        <v>16.510000000000002</v>
      </c>
      <c r="BZ5" s="21">
        <v>11.88</v>
      </c>
      <c r="CA5" s="21">
        <v>7</v>
      </c>
      <c r="CB5" s="21">
        <v>1</v>
      </c>
      <c r="CC5" s="21">
        <f>BZ5</f>
        <v>11.88</v>
      </c>
      <c r="CD5" s="21">
        <v>8</v>
      </c>
      <c r="CE5" s="21">
        <v>4</v>
      </c>
      <c r="CF5" s="21">
        <v>11</v>
      </c>
      <c r="CG5" s="21">
        <v>4</v>
      </c>
      <c r="CH5" s="21">
        <v>1</v>
      </c>
      <c r="CI5" s="21" t="s">
        <v>267</v>
      </c>
      <c r="CJ5" s="21">
        <v>1</v>
      </c>
      <c r="CK5" s="21">
        <v>2</v>
      </c>
      <c r="CL5" s="21">
        <v>0</v>
      </c>
      <c r="CM5" s="21">
        <v>15</v>
      </c>
    </row>
    <row r="6" spans="1:91" x14ac:dyDescent="0.25">
      <c r="F6" t="s">
        <v>449</v>
      </c>
      <c r="AE6" s="19" t="s">
        <v>327</v>
      </c>
      <c r="AS6" s="19" t="s">
        <v>327</v>
      </c>
      <c r="BW6" s="19" t="s">
        <v>335</v>
      </c>
    </row>
    <row r="7" spans="1:91" ht="101.25" x14ac:dyDescent="0.25">
      <c r="B7" s="6" t="s">
        <v>269</v>
      </c>
      <c r="F7" t="s">
        <v>452</v>
      </c>
      <c r="BW7" s="19" t="s">
        <v>441</v>
      </c>
    </row>
    <row r="8" spans="1:91" ht="112.5" x14ac:dyDescent="0.25">
      <c r="B8" s="6" t="s">
        <v>270</v>
      </c>
    </row>
    <row r="9" spans="1:91" ht="101.25" x14ac:dyDescent="0.25">
      <c r="B9" s="6" t="s">
        <v>271</v>
      </c>
    </row>
    <row r="10" spans="1:91" ht="90" x14ac:dyDescent="0.25">
      <c r="B10" s="6" t="s">
        <v>272</v>
      </c>
    </row>
    <row r="11" spans="1:91" ht="123.75" x14ac:dyDescent="0.25">
      <c r="B11" s="6" t="s">
        <v>273</v>
      </c>
    </row>
    <row r="12" spans="1:91" ht="90" x14ac:dyDescent="0.25">
      <c r="B12" s="6" t="s">
        <v>274</v>
      </c>
    </row>
    <row r="13" spans="1:91" ht="101.25" x14ac:dyDescent="0.25">
      <c r="B13" s="6" t="s">
        <v>275</v>
      </c>
    </row>
    <row r="14" spans="1:91" ht="90" x14ac:dyDescent="0.25">
      <c r="B14" s="6" t="s">
        <v>276</v>
      </c>
    </row>
  </sheetData>
  <mergeCells count="8">
    <mergeCell ref="CJ1:CM1"/>
    <mergeCell ref="B1:G1"/>
    <mergeCell ref="BJ1:BV1"/>
    <mergeCell ref="T1:AC1"/>
    <mergeCell ref="BW1:CI1"/>
    <mergeCell ref="AD1:AQ1"/>
    <mergeCell ref="AR1:BI1"/>
    <mergeCell ref="H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"/>
  <sheetViews>
    <sheetView topLeftCell="H1" workbookViewId="0">
      <pane ySplit="3" topLeftCell="A4" activePane="bottomLeft" state="frozen"/>
      <selection pane="bottomLeft" activeCell="I4" sqref="I4"/>
    </sheetView>
  </sheetViews>
  <sheetFormatPr defaultRowHeight="15" x14ac:dyDescent="0.25"/>
  <cols>
    <col min="1" max="5" width="14" customWidth="1"/>
    <col min="6" max="10" width="13" customWidth="1"/>
    <col min="11" max="11" width="12" customWidth="1"/>
    <col min="12" max="13" width="14" customWidth="1"/>
    <col min="14" max="15" width="12" customWidth="1"/>
    <col min="16" max="17" width="14" customWidth="1"/>
    <col min="18" max="18" width="12" customWidth="1"/>
    <col min="19" max="22" width="10" customWidth="1"/>
    <col min="23" max="23" width="12.5703125" customWidth="1"/>
    <col min="24" max="25" width="14" customWidth="1"/>
    <col min="26" max="26" width="16" customWidth="1"/>
    <col min="27" max="27" width="12" customWidth="1"/>
    <col min="28" max="28" width="14" customWidth="1"/>
  </cols>
  <sheetData>
    <row r="1" spans="1:28" ht="27.95" customHeight="1" x14ac:dyDescent="0.25">
      <c r="A1" s="1" t="s">
        <v>20</v>
      </c>
      <c r="B1" s="66" t="s">
        <v>277</v>
      </c>
      <c r="C1" s="39"/>
      <c r="D1" s="39"/>
      <c r="E1" s="39"/>
      <c r="F1" s="39"/>
      <c r="G1" s="39"/>
      <c r="H1" s="52" t="s">
        <v>472</v>
      </c>
      <c r="I1" s="53"/>
      <c r="J1" s="53"/>
      <c r="K1" s="42" t="s">
        <v>278</v>
      </c>
      <c r="L1" s="39"/>
      <c r="M1" s="39"/>
      <c r="N1" s="40"/>
      <c r="O1" s="69" t="s">
        <v>279</v>
      </c>
      <c r="P1" s="70"/>
      <c r="Q1" s="70"/>
      <c r="R1" s="70"/>
      <c r="S1" s="70"/>
      <c r="T1" s="70"/>
      <c r="U1" s="70"/>
      <c r="V1" s="71"/>
      <c r="W1" s="63" t="s">
        <v>280</v>
      </c>
      <c r="X1" s="64"/>
      <c r="Y1" s="65"/>
      <c r="Z1" s="67" t="s">
        <v>281</v>
      </c>
      <c r="AA1" s="68"/>
      <c r="AB1" s="68"/>
    </row>
    <row r="2" spans="1:28" ht="25.5" customHeight="1" x14ac:dyDescent="0.25">
      <c r="A2" s="3" t="s">
        <v>24</v>
      </c>
      <c r="B2" s="3" t="s">
        <v>282</v>
      </c>
      <c r="C2" s="3" t="s">
        <v>283</v>
      </c>
      <c r="D2" s="3" t="s">
        <v>284</v>
      </c>
      <c r="E2" s="3" t="s">
        <v>285</v>
      </c>
      <c r="F2" s="3" t="s">
        <v>286</v>
      </c>
      <c r="G2" s="3" t="s">
        <v>287</v>
      </c>
      <c r="H2" s="3" t="s">
        <v>474</v>
      </c>
      <c r="I2" s="3" t="s">
        <v>475</v>
      </c>
      <c r="J2" s="3" t="s">
        <v>477</v>
      </c>
      <c r="K2" s="3" t="s">
        <v>288</v>
      </c>
      <c r="L2" s="3" t="s">
        <v>289</v>
      </c>
      <c r="M2" s="3" t="s">
        <v>290</v>
      </c>
      <c r="N2" s="3" t="s">
        <v>291</v>
      </c>
      <c r="O2" s="3" t="s">
        <v>464</v>
      </c>
      <c r="P2" s="3" t="s">
        <v>465</v>
      </c>
      <c r="Q2" s="3" t="s">
        <v>466</v>
      </c>
      <c r="R2" s="3" t="s">
        <v>467</v>
      </c>
      <c r="S2" s="3" t="s">
        <v>468</v>
      </c>
      <c r="T2" s="3" t="s">
        <v>469</v>
      </c>
      <c r="U2" s="3" t="s">
        <v>292</v>
      </c>
      <c r="V2" s="3" t="s">
        <v>293</v>
      </c>
      <c r="W2" s="3" t="s">
        <v>294</v>
      </c>
      <c r="X2" s="3" t="s">
        <v>295</v>
      </c>
      <c r="Y2" s="3" t="s">
        <v>296</v>
      </c>
      <c r="Z2" s="3" t="s">
        <v>297</v>
      </c>
      <c r="AA2" s="3" t="s">
        <v>298</v>
      </c>
      <c r="AB2" s="3" t="s">
        <v>299</v>
      </c>
    </row>
    <row r="3" spans="1:28" ht="36" customHeight="1" x14ac:dyDescent="0.25">
      <c r="A3" s="9" t="s">
        <v>37</v>
      </c>
      <c r="B3" s="9" t="s">
        <v>300</v>
      </c>
      <c r="C3" s="9" t="s">
        <v>301</v>
      </c>
      <c r="D3" s="9" t="s">
        <v>302</v>
      </c>
      <c r="E3" s="9" t="s">
        <v>303</v>
      </c>
      <c r="F3" s="9" t="s">
        <v>304</v>
      </c>
      <c r="G3" s="9" t="s">
        <v>305</v>
      </c>
      <c r="H3" s="9" t="s">
        <v>473</v>
      </c>
      <c r="I3" s="9" t="s">
        <v>476</v>
      </c>
      <c r="J3" s="9" t="s">
        <v>478</v>
      </c>
      <c r="K3" s="9" t="s">
        <v>306</v>
      </c>
      <c r="L3" s="9" t="s">
        <v>307</v>
      </c>
      <c r="M3" s="9" t="s">
        <v>308</v>
      </c>
      <c r="N3" s="9" t="s">
        <v>309</v>
      </c>
      <c r="O3" s="9" t="s">
        <v>470</v>
      </c>
      <c r="P3" s="9" t="s">
        <v>310</v>
      </c>
      <c r="Q3" s="9" t="s">
        <v>311</v>
      </c>
      <c r="R3" s="9" t="s">
        <v>471</v>
      </c>
      <c r="S3" s="9" t="s">
        <v>310</v>
      </c>
      <c r="T3" s="9" t="s">
        <v>311</v>
      </c>
      <c r="U3" s="9" t="s">
        <v>312</v>
      </c>
      <c r="V3" s="9" t="s">
        <v>313</v>
      </c>
      <c r="W3" s="9" t="s">
        <v>314</v>
      </c>
      <c r="X3" s="9" t="s">
        <v>315</v>
      </c>
      <c r="Y3" s="9" t="s">
        <v>316</v>
      </c>
      <c r="Z3" s="25" t="s">
        <v>336</v>
      </c>
      <c r="AA3" s="9" t="s">
        <v>312</v>
      </c>
      <c r="AB3" s="9" t="s">
        <v>317</v>
      </c>
    </row>
    <row r="4" spans="1:28" ht="17.100000000000001" customHeight="1" x14ac:dyDescent="0.25">
      <c r="A4" s="5" t="s">
        <v>122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 t="s">
        <v>267</v>
      </c>
      <c r="L4" s="32"/>
      <c r="M4" s="32"/>
      <c r="N4" s="32"/>
      <c r="O4" s="32" t="s">
        <v>267</v>
      </c>
      <c r="P4" s="32">
        <v>5</v>
      </c>
      <c r="Q4" s="32">
        <v>0</v>
      </c>
      <c r="R4" s="32" t="s">
        <v>267</v>
      </c>
      <c r="S4" s="32">
        <v>5</v>
      </c>
      <c r="T4" s="32">
        <v>0</v>
      </c>
      <c r="U4" s="32">
        <v>1.8</v>
      </c>
      <c r="V4" s="32">
        <v>30</v>
      </c>
      <c r="W4" s="32" t="s">
        <v>267</v>
      </c>
      <c r="X4" s="32"/>
      <c r="Y4" s="32"/>
      <c r="Z4" s="32" t="s">
        <v>267</v>
      </c>
      <c r="AA4" s="32"/>
      <c r="AB4" s="32"/>
    </row>
    <row r="5" spans="1:28" x14ac:dyDescent="0.25">
      <c r="A5" s="5" t="s">
        <v>52</v>
      </c>
      <c r="B5" s="32">
        <v>1</v>
      </c>
      <c r="C5" s="32">
        <v>1</v>
      </c>
      <c r="D5" s="32">
        <v>1</v>
      </c>
      <c r="E5" s="32">
        <v>1</v>
      </c>
      <c r="F5" s="32">
        <v>1</v>
      </c>
      <c r="G5" s="32">
        <v>1</v>
      </c>
      <c r="H5" s="32">
        <v>1</v>
      </c>
      <c r="I5" s="32">
        <v>1</v>
      </c>
      <c r="J5" s="32">
        <v>1</v>
      </c>
      <c r="K5" s="32" t="s">
        <v>268</v>
      </c>
      <c r="L5" s="32">
        <v>4</v>
      </c>
      <c r="M5" s="32">
        <v>0</v>
      </c>
      <c r="N5" s="32">
        <v>2</v>
      </c>
      <c r="O5" s="32" t="s">
        <v>268</v>
      </c>
      <c r="P5" s="32">
        <v>5</v>
      </c>
      <c r="Q5" s="32">
        <v>0</v>
      </c>
      <c r="R5" s="32" t="s">
        <v>268</v>
      </c>
      <c r="S5" s="32">
        <v>5</v>
      </c>
      <c r="T5" s="32">
        <v>0</v>
      </c>
      <c r="U5" s="32">
        <v>1.8</v>
      </c>
      <c r="V5" s="32">
        <v>30</v>
      </c>
      <c r="W5" s="32" t="s">
        <v>268</v>
      </c>
      <c r="X5" s="32">
        <v>5</v>
      </c>
      <c r="Y5" s="32">
        <v>4</v>
      </c>
      <c r="Z5" s="32" t="s">
        <v>268</v>
      </c>
      <c r="AA5" s="32">
        <v>2</v>
      </c>
      <c r="AB5" s="32">
        <v>2</v>
      </c>
    </row>
    <row r="6" spans="1:28" ht="112.5" x14ac:dyDescent="0.25">
      <c r="A6" s="6" t="s">
        <v>318</v>
      </c>
    </row>
    <row r="7" spans="1:28" ht="112.5" x14ac:dyDescent="0.25">
      <c r="A7" s="6" t="s">
        <v>319</v>
      </c>
    </row>
    <row r="8" spans="1:28" ht="123.75" x14ac:dyDescent="0.25">
      <c r="A8" s="6" t="s">
        <v>320</v>
      </c>
    </row>
    <row r="9" spans="1:28" ht="90" x14ac:dyDescent="0.25">
      <c r="A9" s="6" t="s">
        <v>321</v>
      </c>
    </row>
    <row r="10" spans="1:28" ht="112.5" x14ac:dyDescent="0.25">
      <c r="A10" s="6" t="s">
        <v>322</v>
      </c>
    </row>
  </sheetData>
  <mergeCells count="6">
    <mergeCell ref="W1:Y1"/>
    <mergeCell ref="B1:G1"/>
    <mergeCell ref="K1:N1"/>
    <mergeCell ref="Z1:AB1"/>
    <mergeCell ref="O1:V1"/>
    <mergeCell ref="H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323</v>
      </c>
    </row>
    <row r="2" spans="1:1" ht="6.95" customHeight="1" x14ac:dyDescent="0.25">
      <c r="A2" s="14"/>
    </row>
    <row r="3" spans="1:1" ht="14.1" customHeight="1" x14ac:dyDescent="0.25">
      <c r="A3" s="15" t="s">
        <v>324</v>
      </c>
    </row>
    <row r="4" spans="1:1" ht="14.1" customHeight="1" x14ac:dyDescent="0.25">
      <c r="A4" s="14" t="s">
        <v>337</v>
      </c>
    </row>
    <row r="5" spans="1:1" ht="14.1" customHeight="1" x14ac:dyDescent="0.25">
      <c r="A5" s="14" t="s">
        <v>338</v>
      </c>
    </row>
    <row r="6" spans="1:1" ht="14.1" customHeight="1" x14ac:dyDescent="0.25">
      <c r="A6" s="14" t="s">
        <v>339</v>
      </c>
    </row>
    <row r="7" spans="1:1" ht="14.1" customHeight="1" x14ac:dyDescent="0.25">
      <c r="A7" s="14" t="s">
        <v>340</v>
      </c>
    </row>
    <row r="8" spans="1:1" ht="14.1" customHeight="1" x14ac:dyDescent="0.25">
      <c r="A8" s="14" t="s">
        <v>341</v>
      </c>
    </row>
    <row r="9" spans="1:1" ht="6.95" customHeight="1" x14ac:dyDescent="0.25">
      <c r="A9" s="14"/>
    </row>
    <row r="10" spans="1:1" ht="14.1" customHeight="1" x14ac:dyDescent="0.25">
      <c r="A10" s="15" t="s">
        <v>342</v>
      </c>
    </row>
    <row r="11" spans="1:1" ht="14.1" customHeight="1" x14ac:dyDescent="0.25">
      <c r="A11" s="14" t="s">
        <v>343</v>
      </c>
    </row>
    <row r="12" spans="1:1" ht="14.1" customHeight="1" x14ac:dyDescent="0.25">
      <c r="A12" s="14" t="s">
        <v>344</v>
      </c>
    </row>
    <row r="13" spans="1:1" ht="14.1" customHeight="1" x14ac:dyDescent="0.25">
      <c r="A13" s="14" t="s">
        <v>345</v>
      </c>
    </row>
    <row r="14" spans="1:1" ht="6.95" customHeight="1" x14ac:dyDescent="0.25">
      <c r="A14" s="14"/>
    </row>
    <row r="15" spans="1:1" ht="14.1" customHeight="1" x14ac:dyDescent="0.25">
      <c r="A15" s="15" t="s">
        <v>346</v>
      </c>
    </row>
    <row r="16" spans="1:1" ht="14.1" customHeight="1" x14ac:dyDescent="0.25">
      <c r="A16" s="14" t="s">
        <v>347</v>
      </c>
    </row>
    <row r="17" spans="1:1" ht="14.1" customHeight="1" x14ac:dyDescent="0.25">
      <c r="A17" s="14" t="s">
        <v>348</v>
      </c>
    </row>
    <row r="18" spans="1:1" ht="14.1" customHeight="1" x14ac:dyDescent="0.25">
      <c r="A18" s="14" t="s">
        <v>349</v>
      </c>
    </row>
    <row r="19" spans="1:1" ht="14.1" customHeight="1" x14ac:dyDescent="0.25">
      <c r="A19" s="14" t="s">
        <v>350</v>
      </c>
    </row>
    <row r="20" spans="1:1" ht="6.95" customHeight="1" x14ac:dyDescent="0.25">
      <c r="A20" s="14"/>
    </row>
    <row r="21" spans="1:1" ht="14.1" customHeight="1" x14ac:dyDescent="0.25">
      <c r="A21" s="15" t="s">
        <v>351</v>
      </c>
    </row>
    <row r="22" spans="1:1" ht="14.1" customHeight="1" x14ac:dyDescent="0.25">
      <c r="A22" s="14" t="s">
        <v>352</v>
      </c>
    </row>
    <row r="23" spans="1:1" ht="14.1" customHeight="1" x14ac:dyDescent="0.25">
      <c r="A23" s="14" t="s">
        <v>353</v>
      </c>
    </row>
    <row r="24" spans="1:1" ht="14.1" customHeight="1" x14ac:dyDescent="0.25">
      <c r="A24" s="14" t="s">
        <v>354</v>
      </c>
    </row>
    <row r="25" spans="1:1" ht="6.95" customHeight="1" x14ac:dyDescent="0.25">
      <c r="A25" s="14" t="s">
        <v>355</v>
      </c>
    </row>
    <row r="26" spans="1:1" ht="14.1" customHeight="1" x14ac:dyDescent="0.25">
      <c r="A26" s="26" t="s">
        <v>356</v>
      </c>
    </row>
    <row r="27" spans="1:1" ht="14.1" customHeight="1" x14ac:dyDescent="0.25">
      <c r="A27" s="14" t="s">
        <v>357</v>
      </c>
    </row>
    <row r="28" spans="1:1" ht="14.1" customHeight="1" x14ac:dyDescent="0.25">
      <c r="A28" s="14" t="s">
        <v>358</v>
      </c>
    </row>
    <row r="29" spans="1:1" ht="14.1" customHeight="1" x14ac:dyDescent="0.25">
      <c r="A29" s="14" t="s">
        <v>359</v>
      </c>
    </row>
    <row r="30" spans="1:1" x14ac:dyDescent="0.25">
      <c r="A30" s="14" t="s">
        <v>360</v>
      </c>
    </row>
    <row r="31" spans="1:1" x14ac:dyDescent="0.25">
      <c r="A31" s="14"/>
    </row>
    <row r="32" spans="1:1" x14ac:dyDescent="0.25">
      <c r="A32" s="15" t="s">
        <v>361</v>
      </c>
    </row>
    <row r="33" spans="1:1" x14ac:dyDescent="0.25">
      <c r="A33" s="14" t="s">
        <v>362</v>
      </c>
    </row>
    <row r="34" spans="1:1" x14ac:dyDescent="0.25">
      <c r="A34" s="14" t="s">
        <v>363</v>
      </c>
    </row>
    <row r="35" spans="1:1" x14ac:dyDescent="0.25">
      <c r="A35" s="14" t="s">
        <v>364</v>
      </c>
    </row>
    <row r="36" spans="1:1" x14ac:dyDescent="0.25">
      <c r="A36" s="14" t="s">
        <v>365</v>
      </c>
    </row>
    <row r="37" spans="1:1" x14ac:dyDescent="0.25">
      <c r="A37" s="14" t="s">
        <v>366</v>
      </c>
    </row>
    <row r="38" spans="1:1" x14ac:dyDescent="0.25">
      <c r="A38" s="14" t="s">
        <v>367</v>
      </c>
    </row>
    <row r="39" spans="1:1" x14ac:dyDescent="0.25">
      <c r="A39" s="14" t="s">
        <v>368</v>
      </c>
    </row>
    <row r="40" spans="1:1" x14ac:dyDescent="0.25">
      <c r="A40" s="14" t="s">
        <v>369</v>
      </c>
    </row>
    <row r="41" spans="1:1" x14ac:dyDescent="0.25">
      <c r="A41" s="14" t="s">
        <v>370</v>
      </c>
    </row>
    <row r="42" spans="1:1" x14ac:dyDescent="0.25">
      <c r="A42" s="14" t="s">
        <v>371</v>
      </c>
    </row>
    <row r="43" spans="1:1" x14ac:dyDescent="0.25">
      <c r="A43" s="14" t="s">
        <v>372</v>
      </c>
    </row>
    <row r="44" spans="1:1" x14ac:dyDescent="0.25">
      <c r="A44" s="14" t="s">
        <v>373</v>
      </c>
    </row>
    <row r="45" spans="1:1" x14ac:dyDescent="0.25">
      <c r="A45" s="14" t="s">
        <v>374</v>
      </c>
    </row>
    <row r="46" spans="1:1" x14ac:dyDescent="0.25">
      <c r="A46" s="14" t="s">
        <v>375</v>
      </c>
    </row>
    <row r="47" spans="1:1" x14ac:dyDescent="0.25">
      <c r="A47" s="14" t="s">
        <v>376</v>
      </c>
    </row>
    <row r="48" spans="1:1" x14ac:dyDescent="0.25">
      <c r="A48" s="14" t="s">
        <v>377</v>
      </c>
    </row>
    <row r="49" spans="1:1" x14ac:dyDescent="0.25">
      <c r="A49" s="14" t="s">
        <v>378</v>
      </c>
    </row>
    <row r="50" spans="1:1" x14ac:dyDescent="0.25">
      <c r="A50" s="14"/>
    </row>
    <row r="51" spans="1:1" x14ac:dyDescent="0.25">
      <c r="A51" s="15" t="s">
        <v>379</v>
      </c>
    </row>
    <row r="52" spans="1:1" x14ac:dyDescent="0.25">
      <c r="A52" s="14" t="s">
        <v>380</v>
      </c>
    </row>
    <row r="53" spans="1:1" x14ac:dyDescent="0.25">
      <c r="A53" s="14" t="s">
        <v>381</v>
      </c>
    </row>
    <row r="54" spans="1:1" x14ac:dyDescent="0.25">
      <c r="A54" s="14" t="s">
        <v>382</v>
      </c>
    </row>
    <row r="55" spans="1:1" x14ac:dyDescent="0.25">
      <c r="A55" s="14" t="s">
        <v>383</v>
      </c>
    </row>
    <row r="56" spans="1:1" x14ac:dyDescent="0.25">
      <c r="A56" s="14" t="s">
        <v>384</v>
      </c>
    </row>
    <row r="57" spans="1:1" x14ac:dyDescent="0.25">
      <c r="A57" s="14" t="s">
        <v>385</v>
      </c>
    </row>
    <row r="58" spans="1:1" x14ac:dyDescent="0.25">
      <c r="A58" s="14" t="s">
        <v>386</v>
      </c>
    </row>
    <row r="59" spans="1:1" x14ac:dyDescent="0.25">
      <c r="A59" s="14" t="s">
        <v>387</v>
      </c>
    </row>
    <row r="60" spans="1:1" x14ac:dyDescent="0.25">
      <c r="A60" s="14" t="s">
        <v>388</v>
      </c>
    </row>
    <row r="61" spans="1:1" x14ac:dyDescent="0.25">
      <c r="A61" s="14" t="s">
        <v>389</v>
      </c>
    </row>
    <row r="62" spans="1:1" x14ac:dyDescent="0.25">
      <c r="A62" s="14" t="s">
        <v>390</v>
      </c>
    </row>
    <row r="63" spans="1:1" x14ac:dyDescent="0.25">
      <c r="A63" s="14" t="s">
        <v>391</v>
      </c>
    </row>
    <row r="64" spans="1:1" x14ac:dyDescent="0.25">
      <c r="A64" s="14" t="s">
        <v>392</v>
      </c>
    </row>
    <row r="65" spans="1:1" x14ac:dyDescent="0.25">
      <c r="A65" s="14" t="s">
        <v>393</v>
      </c>
    </row>
    <row r="66" spans="1:1" x14ac:dyDescent="0.25">
      <c r="A66" s="14" t="s">
        <v>394</v>
      </c>
    </row>
    <row r="67" spans="1:1" x14ac:dyDescent="0.25">
      <c r="A67" s="14" t="s">
        <v>395</v>
      </c>
    </row>
    <row r="68" spans="1:1" x14ac:dyDescent="0.25">
      <c r="A68" s="14" t="s">
        <v>396</v>
      </c>
    </row>
    <row r="69" spans="1:1" x14ac:dyDescent="0.25">
      <c r="A69" s="14"/>
    </row>
    <row r="70" spans="1:1" x14ac:dyDescent="0.25">
      <c r="A70" s="15" t="s">
        <v>397</v>
      </c>
    </row>
    <row r="71" spans="1:1" x14ac:dyDescent="0.25">
      <c r="A71" s="14" t="s">
        <v>398</v>
      </c>
    </row>
    <row r="72" spans="1:1" x14ac:dyDescent="0.25">
      <c r="A72" s="14" t="s">
        <v>399</v>
      </c>
    </row>
    <row r="73" spans="1:1" x14ac:dyDescent="0.25">
      <c r="A73" s="14" t="s">
        <v>400</v>
      </c>
    </row>
    <row r="74" spans="1:1" x14ac:dyDescent="0.25">
      <c r="A74" s="14" t="s">
        <v>401</v>
      </c>
    </row>
    <row r="75" spans="1:1" x14ac:dyDescent="0.25">
      <c r="A75" s="14" t="s">
        <v>402</v>
      </c>
    </row>
    <row r="76" spans="1:1" x14ac:dyDescent="0.25">
      <c r="A76" s="14" t="s">
        <v>403</v>
      </c>
    </row>
    <row r="77" spans="1:1" x14ac:dyDescent="0.25">
      <c r="A77" s="14" t="s">
        <v>404</v>
      </c>
    </row>
    <row r="78" spans="1:1" x14ac:dyDescent="0.25">
      <c r="A78" s="14" t="s">
        <v>405</v>
      </c>
    </row>
    <row r="79" spans="1:1" x14ac:dyDescent="0.25">
      <c r="A79" s="14" t="s">
        <v>406</v>
      </c>
    </row>
    <row r="80" spans="1:1" x14ac:dyDescent="0.25">
      <c r="A80" s="14" t="s">
        <v>407</v>
      </c>
    </row>
    <row r="81" spans="1:1" x14ac:dyDescent="0.25">
      <c r="A81" s="14" t="s">
        <v>408</v>
      </c>
    </row>
    <row r="82" spans="1:1" x14ac:dyDescent="0.25">
      <c r="A82" s="14" t="s">
        <v>409</v>
      </c>
    </row>
    <row r="83" spans="1:1" x14ac:dyDescent="0.25">
      <c r="A83" s="14" t="s">
        <v>410</v>
      </c>
    </row>
    <row r="84" spans="1:1" x14ac:dyDescent="0.25">
      <c r="A84" s="14" t="s">
        <v>411</v>
      </c>
    </row>
    <row r="85" spans="1:1" x14ac:dyDescent="0.25">
      <c r="A85" s="6" t="s">
        <v>412</v>
      </c>
    </row>
    <row r="86" spans="1:1" x14ac:dyDescent="0.25">
      <c r="A86" s="14" t="s">
        <v>413</v>
      </c>
    </row>
    <row r="87" spans="1:1" x14ac:dyDescent="0.25">
      <c r="A87" s="14" t="s">
        <v>414</v>
      </c>
    </row>
    <row r="88" spans="1:1" x14ac:dyDescent="0.25">
      <c r="A88" s="14" t="s">
        <v>415</v>
      </c>
    </row>
    <row r="89" spans="1:1" x14ac:dyDescent="0.25">
      <c r="A89" s="14" t="s">
        <v>416</v>
      </c>
    </row>
    <row r="90" spans="1:1" x14ac:dyDescent="0.25">
      <c r="A90" s="14" t="s">
        <v>417</v>
      </c>
    </row>
    <row r="91" spans="1:1" x14ac:dyDescent="0.25">
      <c r="A91" s="14" t="s">
        <v>418</v>
      </c>
    </row>
    <row r="92" spans="1:1" x14ac:dyDescent="0.25">
      <c r="A92" s="14"/>
    </row>
    <row r="93" spans="1:1" x14ac:dyDescent="0.25">
      <c r="A93" s="15" t="s">
        <v>419</v>
      </c>
    </row>
    <row r="94" spans="1:1" x14ac:dyDescent="0.25">
      <c r="A94" s="14" t="s">
        <v>420</v>
      </c>
    </row>
    <row r="95" spans="1:1" x14ac:dyDescent="0.25">
      <c r="A95" s="14" t="s">
        <v>421</v>
      </c>
    </row>
    <row r="96" spans="1:1" x14ac:dyDescent="0.25">
      <c r="A96" s="14" t="s">
        <v>422</v>
      </c>
    </row>
    <row r="97" spans="1:1" x14ac:dyDescent="0.25">
      <c r="A97" s="14" t="s">
        <v>423</v>
      </c>
    </row>
    <row r="98" spans="1:1" x14ac:dyDescent="0.25">
      <c r="A98" s="14" t="s">
        <v>424</v>
      </c>
    </row>
    <row r="99" spans="1:1" x14ac:dyDescent="0.25">
      <c r="A99" s="14" t="s">
        <v>425</v>
      </c>
    </row>
    <row r="100" spans="1:1" x14ac:dyDescent="0.25">
      <c r="A100" s="14" t="s">
        <v>426</v>
      </c>
    </row>
    <row r="101" spans="1:1" x14ac:dyDescent="0.25">
      <c r="A101" s="14" t="s">
        <v>427</v>
      </c>
    </row>
    <row r="102" spans="1:1" x14ac:dyDescent="0.25">
      <c r="A102" s="14" t="s">
        <v>428</v>
      </c>
    </row>
    <row r="103" spans="1:1" x14ac:dyDescent="0.25">
      <c r="A103" s="14" t="s">
        <v>429</v>
      </c>
    </row>
    <row r="104" spans="1:1" x14ac:dyDescent="0.25">
      <c r="A104" s="14" t="s">
        <v>430</v>
      </c>
    </row>
    <row r="105" spans="1:1" x14ac:dyDescent="0.25">
      <c r="A105" s="14" t="s">
        <v>431</v>
      </c>
    </row>
    <row r="106" spans="1:1" x14ac:dyDescent="0.25">
      <c r="A106" s="14" t="s">
        <v>432</v>
      </c>
    </row>
    <row r="107" spans="1:1" x14ac:dyDescent="0.25">
      <c r="A107" s="14" t="s">
        <v>433</v>
      </c>
    </row>
    <row r="108" spans="1:1" x14ac:dyDescent="0.25">
      <c r="A108" s="14" t="s">
        <v>434</v>
      </c>
    </row>
    <row r="109" spans="1:1" x14ac:dyDescent="0.25">
      <c r="A109" s="14" t="s">
        <v>435</v>
      </c>
    </row>
    <row r="110" spans="1:1" x14ac:dyDescent="0.25">
      <c r="A110" s="14"/>
    </row>
    <row r="111" spans="1:1" x14ac:dyDescent="0.25">
      <c r="A111" s="15" t="s">
        <v>436</v>
      </c>
    </row>
    <row r="112" spans="1:1" x14ac:dyDescent="0.25">
      <c r="A112" s="14" t="s">
        <v>437</v>
      </c>
    </row>
    <row r="113" spans="1:1" x14ac:dyDescent="0.25">
      <c r="A113" s="14" t="s">
        <v>438</v>
      </c>
    </row>
    <row r="114" spans="1:1" x14ac:dyDescent="0.25">
      <c r="A114" s="14" t="s">
        <v>439</v>
      </c>
    </row>
    <row r="115" spans="1:1" x14ac:dyDescent="0.25">
      <c r="A115" s="14" t="s">
        <v>440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2026-05-06T10:36:06Z</dcterms:modified>
</cp:coreProperties>
</file>