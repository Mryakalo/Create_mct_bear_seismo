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\Create_mct_bear_seismo\"/>
    </mc:Choice>
  </mc:AlternateContent>
  <xr:revisionPtr revIDLastSave="0" documentId="13_ncr:1_{0590DD7F-C571-44A2-A12D-A2232026DB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Проект" sheetId="1" r:id="rId1"/>
    <sheet name="Плеть" sheetId="2" r:id="rId2"/>
    <sheet name="Массы" sheetId="3" r:id="rId3"/>
    <sheet name="Опоры" sheetId="4" r:id="rId4"/>
    <sheet name="Грунт" sheetId="5" r:id="rId5"/>
    <sheet name="Справка" sheetId="6" r:id="rId6"/>
  </sheets>
  <calcPr calcId="191029"/>
</workbook>
</file>

<file path=xl/calcChain.xml><?xml version="1.0" encoding="utf-8"?>
<calcChain xmlns="http://schemas.openxmlformats.org/spreadsheetml/2006/main">
  <c r="CA5" i="4" l="1"/>
  <c r="CE5" i="4"/>
  <c r="BQ5" i="4"/>
  <c r="BM5" i="4"/>
  <c r="B7" i="3"/>
  <c r="B6" i="3"/>
  <c r="P12" i="2"/>
  <c r="P11" i="2"/>
  <c r="P10" i="2"/>
  <c r="P8" i="2"/>
  <c r="P7" i="2"/>
  <c r="P6" i="2"/>
  <c r="J12" i="2"/>
  <c r="J11" i="2"/>
  <c r="J10" i="2"/>
  <c r="J7" i="2"/>
  <c r="J8" i="2"/>
  <c r="J6" i="2"/>
  <c r="BQ4" i="4"/>
  <c r="BM4" i="4"/>
  <c r="T7" i="3"/>
  <c r="L6" i="3"/>
  <c r="AB7" i="3"/>
  <c r="O5" i="3"/>
  <c r="AN5" i="3"/>
  <c r="Y7" i="3"/>
  <c r="AE7" i="3"/>
  <c r="L5" i="3"/>
  <c r="Q6" i="3"/>
  <c r="O6" i="3"/>
  <c r="AH6" i="3"/>
  <c r="K7" i="3"/>
  <c r="AH5" i="3"/>
  <c r="U7" i="3"/>
  <c r="T6" i="3"/>
  <c r="N7" i="3"/>
  <c r="I5" i="3"/>
  <c r="E6" i="3"/>
  <c r="W7" i="3"/>
  <c r="R5" i="3"/>
  <c r="I7" i="3"/>
  <c r="Y6" i="3"/>
  <c r="U5" i="3"/>
  <c r="U6" i="3"/>
  <c r="AB5" i="3"/>
  <c r="X5" i="3"/>
  <c r="E5" i="3"/>
  <c r="L7" i="3"/>
  <c r="H7" i="3"/>
  <c r="H5" i="3"/>
  <c r="F5" i="3"/>
  <c r="X7" i="3"/>
  <c r="F7" i="3"/>
  <c r="X6" i="3"/>
  <c r="AK7" i="3"/>
  <c r="H6" i="3"/>
  <c r="AN7" i="3"/>
  <c r="N6" i="3"/>
  <c r="AN6" i="3"/>
  <c r="E7" i="3"/>
  <c r="R6" i="3"/>
  <c r="Y5" i="3"/>
  <c r="AB6" i="3"/>
  <c r="F6" i="3"/>
  <c r="K6" i="3"/>
  <c r="I6" i="3"/>
  <c r="AK5" i="3"/>
  <c r="AE6" i="3"/>
  <c r="W6" i="3"/>
  <c r="AE5" i="3"/>
  <c r="Q7" i="3"/>
  <c r="AH7" i="3"/>
  <c r="O7" i="3"/>
  <c r="R7" i="3"/>
  <c r="AK6" i="3"/>
  <c r="AM7" i="3" l="1"/>
  <c r="AP7" i="3"/>
  <c r="Z7" i="3"/>
  <c r="AC7" i="3"/>
  <c r="G7" i="3"/>
  <c r="V7" i="3"/>
  <c r="AF7" i="3"/>
  <c r="AA7" i="3"/>
  <c r="J7" i="3"/>
  <c r="AI7" i="3"/>
  <c r="AG7" i="3"/>
  <c r="AL7" i="3"/>
  <c r="P7" i="3"/>
  <c r="AD7" i="3"/>
  <c r="AO7" i="3"/>
  <c r="AJ7" i="3"/>
  <c r="M7" i="3"/>
  <c r="S7" i="3"/>
  <c r="G6" i="3"/>
  <c r="AP6" i="3"/>
  <c r="AF6" i="3"/>
  <c r="AC6" i="3"/>
  <c r="AI6" i="3"/>
  <c r="AD6" i="3"/>
  <c r="V6" i="3"/>
  <c r="M6" i="3"/>
  <c r="J6" i="3"/>
  <c r="AL6" i="3"/>
  <c r="AM6" i="3"/>
  <c r="AA6" i="3"/>
  <c r="AG6" i="3"/>
  <c r="Z6" i="3"/>
  <c r="P6" i="3"/>
  <c r="AO6" i="3"/>
  <c r="AJ6" i="3"/>
  <c r="S6" i="3"/>
  <c r="AA5" i="3"/>
  <c r="B5" i="3"/>
  <c r="Q5" i="3"/>
  <c r="T5" i="3"/>
  <c r="N5" i="3"/>
  <c r="K5" i="3"/>
  <c r="W5" i="3"/>
  <c r="AP5" i="3" l="1"/>
  <c r="AM5" i="3"/>
  <c r="AJ5" i="3"/>
  <c r="AG5" i="3"/>
  <c r="AD5" i="3"/>
  <c r="AO5" i="3"/>
  <c r="AL5" i="3"/>
  <c r="AI5" i="3"/>
  <c r="AF5" i="3"/>
  <c r="AC5" i="3"/>
  <c r="Z5" i="3"/>
  <c r="V5" i="3"/>
  <c r="S5" i="3"/>
  <c r="P5" i="3"/>
  <c r="M5" i="3"/>
  <c r="J5" i="3"/>
  <c r="G5" i="3"/>
</calcChain>
</file>

<file path=xl/sharedStrings.xml><?xml version="1.0" encoding="utf-8"?>
<sst xmlns="http://schemas.openxmlformats.org/spreadsheetml/2006/main" count="649" uniqueCount="494">
  <si>
    <t>Параметр</t>
  </si>
  <si>
    <t>Ключ (читает Python)</t>
  </si>
  <si>
    <t>Описание</t>
  </si>
  <si>
    <t>Значение</t>
  </si>
  <si>
    <t>Название проекта</t>
  </si>
  <si>
    <t>project_name</t>
  </si>
  <si>
    <t>Используется в комментариях выходных .mct файлов</t>
  </si>
  <si>
    <t>g, м/с²</t>
  </si>
  <si>
    <t>gravity</t>
  </si>
  <si>
    <t>Ускорение свободного падения для пересчёта нагрузок в массы</t>
  </si>
  <si>
    <t>μ — коэффициент трения ОЧ</t>
  </si>
  <si>
    <t>mu</t>
  </si>
  <si>
    <t>Глобальный коэффициент трения для movable опорных частей</t>
  </si>
  <si>
    <t>* Python читает значения из столбца D по ключу из столбца B</t>
  </si>
  <si>
    <t>* Все отметки Z — от низа ростверка (Z = 0 = подошва ростверка)</t>
  </si>
  <si>
    <t>* Сейсмическое воздействие (*SFUNCTION и др.) задаётся в Midas Civil вручную</t>
  </si>
  <si>
    <t>* Формулы на листе "Массы" должны быть пересчитаны в Excel перед запуском скрипта</t>
  </si>
  <si>
    <t>Опора и отметки Z</t>
  </si>
  <si>
    <t>Опорная часть СПРАВА по ходу возрастания пикетажа</t>
  </si>
  <si>
    <t>Опорная часть СЛЕВА по ходу возрастания пикетажа</t>
  </si>
  <si>
    <t>Опора</t>
  </si>
  <si>
    <t>Опорная часть</t>
  </si>
  <si>
    <t>Нагрузки, тс</t>
  </si>
  <si>
    <t>Коэф. трения</t>
  </si>
  <si>
    <t>pier_name</t>
  </si>
  <si>
    <t>r_bearing_no</t>
  </si>
  <si>
    <t>r_bearing_X</t>
  </si>
  <si>
    <t>r_bearing_Y</t>
  </si>
  <si>
    <t>r_R_perm</t>
  </si>
  <si>
    <t>r_R_temp</t>
  </si>
  <si>
    <t>r_mu_X</t>
  </si>
  <si>
    <t>l_bearing_no</t>
  </si>
  <si>
    <t>l_bearing_X</t>
  </si>
  <si>
    <t>l_bearing_Y</t>
  </si>
  <si>
    <t>l_R_perm</t>
  </si>
  <si>
    <t>l_R_temp</t>
  </si>
  <si>
    <t>l_mu_X</t>
  </si>
  <si>
    <t>Имя опоры</t>
  </si>
  <si>
    <t>Z шарнира
ОЧ, м</t>
  </si>
  <si>
    <t>Z ЦТ
пролёта, м</t>
  </si>
  <si>
    <t>№ ОЧ
(1–4)</t>
  </si>
  <si>
    <t>Вдоль X
fixed/movable</t>
  </si>
  <si>
    <t>Поперёк Y
fixed/movable</t>
  </si>
  <si>
    <t>R пост., тс</t>
  </si>
  <si>
    <t>R врем., тс</t>
  </si>
  <si>
    <t>μ X
(movable)</t>
  </si>
  <si>
    <t>Плеть 1</t>
  </si>
  <si>
    <t>O1</t>
  </si>
  <si>
    <t>movable</t>
  </si>
  <si>
    <t>fixed</t>
  </si>
  <si>
    <t>O2</t>
  </si>
  <si>
    <t>O3</t>
  </si>
  <si>
    <t>* Одна строка = одна опора. Z-отметки (B,C,D) общие для правой и левой ОЧ.</t>
  </si>
  <si>
    <t>* Строку-разделитель "Плеть N" вставляйте перед первой опорой каждой плети.</t>
  </si>
  <si>
    <t>* bearing_X / bearing_Y: "fixed" или "movable". μ задаётся только для movable.</t>
  </si>
  <si>
    <t>ОЧ СПРАВА — Постоянная нагрузка</t>
  </si>
  <si>
    <t>ОЧ СПРАВА — Временная нагрузка</t>
  </si>
  <si>
    <t>ОЧ СЛЕВА — Постоянная нагрузка</t>
  </si>
  <si>
    <t>ОЧ СЛЕВА — Временная нагрузка</t>
  </si>
  <si>
    <t>Идентификация</t>
  </si>
  <si>
    <t>№ ОЧ</t>
  </si>
  <si>
    <t>mX (п.8.3.23)</t>
  </si>
  <si>
    <t>mY (п.8.3.24)</t>
  </si>
  <si>
    <t>mZ (п.8.3.24)</t>
  </si>
  <si>
    <t>mX врем.</t>
  </si>
  <si>
    <t>mY врем.</t>
  </si>
  <si>
    <t>mZ врем.</t>
  </si>
  <si>
    <t>g</t>
  </si>
  <si>
    <t>plety_row_start</t>
  </si>
  <si>
    <t>plety_row_end</t>
  </si>
  <si>
    <t>r_mx_R_perm</t>
  </si>
  <si>
    <t>r_mx_mass</t>
  </si>
  <si>
    <t>r_mx_z</t>
  </si>
  <si>
    <t>r_my_R_perm</t>
  </si>
  <si>
    <t>r_my_mass</t>
  </si>
  <si>
    <t>r_my_z</t>
  </si>
  <si>
    <t>r_mz_R_perm</t>
  </si>
  <si>
    <t>r_mz_mass</t>
  </si>
  <si>
    <t>r_mz_z</t>
  </si>
  <si>
    <t>r_mx_R_temp</t>
  </si>
  <si>
    <t>r_mx_t_mass</t>
  </si>
  <si>
    <t>r_mx_t_z</t>
  </si>
  <si>
    <t>r_my_R_temp</t>
  </si>
  <si>
    <t>r_my_t_mass</t>
  </si>
  <si>
    <t>r_my_t_z</t>
  </si>
  <si>
    <t>r_mz_R_temp</t>
  </si>
  <si>
    <t>r_mz_t_mass</t>
  </si>
  <si>
    <t>r_mz_t_z</t>
  </si>
  <si>
    <t>l_mx_R_perm</t>
  </si>
  <si>
    <t>l_mx_mass</t>
  </si>
  <si>
    <t>l_mx_z</t>
  </si>
  <si>
    <t>l_my_R_perm</t>
  </si>
  <si>
    <t>l_my_mass</t>
  </si>
  <si>
    <t>l_my_z</t>
  </si>
  <si>
    <t>l_mz_R_perm</t>
  </si>
  <si>
    <t>l_mz_mass</t>
  </si>
  <si>
    <t>l_mz_z</t>
  </si>
  <si>
    <t>l_mx_R_temp</t>
  </si>
  <si>
    <t>l_mx_t_mass</t>
  </si>
  <si>
    <t>l_mx_t_z</t>
  </si>
  <si>
    <t>l_my_R_temp</t>
  </si>
  <si>
    <t>l_my_t_mass</t>
  </si>
  <si>
    <t>l_my_t_z</t>
  </si>
  <si>
    <t>l_mz_R_temp</t>
  </si>
  <si>
    <t>l_mz_t_mass</t>
  </si>
  <si>
    <t>l_mz_t_z</t>
  </si>
  <si>
    <t>Строка
начала плети</t>
  </si>
  <si>
    <t>Строка
конца плети</t>
  </si>
  <si>
    <t>№</t>
  </si>
  <si>
    <t>ΣR_пост
плети, тс</t>
  </si>
  <si>
    <t>mX, тс·с²/м</t>
  </si>
  <si>
    <t>Z (z_hinge), м</t>
  </si>
  <si>
    <t>R_пост×μY
опоры, тс</t>
  </si>
  <si>
    <t>mY, тс·с²/м</t>
  </si>
  <si>
    <t>Z (z_cg), м</t>
  </si>
  <si>
    <t>R_пост
опоры, тс</t>
  </si>
  <si>
    <t>mZ, тс·с²/м</t>
  </si>
  <si>
    <t>ΣR_врем
плети, тс</t>
  </si>
  <si>
    <t>R_врем×μY
опоры, тс</t>
  </si>
  <si>
    <t>Z (z_road), м</t>
  </si>
  <si>
    <t>R_врем
опоры, тс</t>
  </si>
  <si>
    <t>O4</t>
  </si>
  <si>
    <t>* C/D = строки начала и конца плети на листе "Плеть". Одна строка на опору -&gt; C = D.</t>
  </si>
  <si>
    <t>* Z-отметки общие для обеих ОЧ — берутся из столбцов B/C/D листа "Плеть".</t>
  </si>
  <si>
    <t>* mX: bearing_X="fixed" -&gt; ΣR_пост всей плети/g;  "movable" -&gt; ΣR_пост×μX/g.</t>
  </si>
  <si>
    <t>* mY=R_пост×μY/g (z_cg). mZ=R_пост/g (z_cg). Временные — к z_road.</t>
  </si>
  <si>
    <t>* Зелёные ячейки считаются автоматически. Копируйте строку 5 для каждой новой опоры.</t>
  </si>
  <si>
    <t>Рамка 2
(пусто = 1 рамка)</t>
  </si>
  <si>
    <t>Офсеты нумерации</t>
  </si>
  <si>
    <t>Ростверк
(до 2 зон)</t>
  </si>
  <si>
    <t>Стойка
(до 3 зон)</t>
  </si>
  <si>
    <t>Ригель
(до 4 зон)</t>
  </si>
  <si>
    <t>Рамка 1</t>
  </si>
  <si>
    <t>geom_source</t>
  </si>
  <si>
    <t>mct_path</t>
  </si>
  <si>
    <t>pile_mct_path</t>
  </si>
  <si>
    <t>node_offset_cap</t>
  </si>
  <si>
    <t>elem_offset_cap</t>
  </si>
  <si>
    <t>node_offset_col</t>
  </si>
  <si>
    <t>elem_offset_col</t>
  </si>
  <si>
    <t>node_offset_beam</t>
  </si>
  <si>
    <t>elem_offset_beam</t>
  </si>
  <si>
    <t>node_offset_frame1</t>
  </si>
  <si>
    <t>elem_offset_frame1</t>
  </si>
  <si>
    <t>node_offset_frame2</t>
  </si>
  <si>
    <t>elem_offset_frame2</t>
  </si>
  <si>
    <t>cap_z_top</t>
  </si>
  <si>
    <t>cap_step</t>
  </si>
  <si>
    <t>cap_mat</t>
  </si>
  <si>
    <t>cap_sec_1</t>
  </si>
  <si>
    <t>cap_sec_1_ts_group</t>
  </si>
  <si>
    <t>cap_sec_1_ts_no</t>
  </si>
  <si>
    <t>cap_sec_1_z_top</t>
  </si>
  <si>
    <t>cap_sec_2</t>
  </si>
  <si>
    <t>cap_sec_2_ts_group</t>
  </si>
  <si>
    <t>cap_sec_2_ts_no</t>
  </si>
  <si>
    <t>col_z_top</t>
  </si>
  <si>
    <t>col_step</t>
  </si>
  <si>
    <t>col_mat</t>
  </si>
  <si>
    <t>col_sec_1</t>
  </si>
  <si>
    <t>col_sec_1_ts_group</t>
  </si>
  <si>
    <t>col_sec_1_ts_no</t>
  </si>
  <si>
    <t>col_sec_1_z_top</t>
  </si>
  <si>
    <t>col_sec_2</t>
  </si>
  <si>
    <t>col_sec_2_ts_group</t>
  </si>
  <si>
    <t>col_sec_2_ts_no</t>
  </si>
  <si>
    <t>col_sec_2_z_top</t>
  </si>
  <si>
    <t>col_sec_3</t>
  </si>
  <si>
    <t>col_sec_3_ts_group</t>
  </si>
  <si>
    <t>col_sec_3_ts_no</t>
  </si>
  <si>
    <t>beam_z_top</t>
  </si>
  <si>
    <t>beam_step</t>
  </si>
  <si>
    <t>beam_mat</t>
  </si>
  <si>
    <t>beam_sec_1</t>
  </si>
  <si>
    <t>beam_sec_1_ts_group</t>
  </si>
  <si>
    <t>beam_sec_1_ts_no</t>
  </si>
  <si>
    <t>beam_sec_1_z_top</t>
  </si>
  <si>
    <t>beam_sec_2</t>
  </si>
  <si>
    <t>beam_sec_2_ts_group</t>
  </si>
  <si>
    <t>beam_sec_2_ts_no</t>
  </si>
  <si>
    <t>beam_sec_2_z_top</t>
  </si>
  <si>
    <t>beam_sec_3</t>
  </si>
  <si>
    <t>beam_sec_3_ts_group</t>
  </si>
  <si>
    <t>beam_sec_3_ts_no</t>
  </si>
  <si>
    <t>beam_sec_3_z_top</t>
  </si>
  <si>
    <t>beam_sec_4</t>
  </si>
  <si>
    <t>beam_sec_4_ts_group</t>
  </si>
  <si>
    <t>beam_sec_4_ts_no</t>
  </si>
  <si>
    <t>f1_x</t>
  </si>
  <si>
    <t>f1_pad_z_bot</t>
  </si>
  <si>
    <t>f1_pad_z_top</t>
  </si>
  <si>
    <t>f1_pad_sec</t>
  </si>
  <si>
    <t>f1_pad_mat</t>
  </si>
  <si>
    <t>f1_bear_z_bot</t>
  </si>
  <si>
    <t>f1_bear_sec</t>
  </si>
  <si>
    <t>f1_bear_mat</t>
  </si>
  <si>
    <t>f1_frame_sec</t>
  </si>
  <si>
    <t>f1_frame_mat</t>
  </si>
  <si>
    <t>f1_num_bearings</t>
  </si>
  <si>
    <t>f1_shared_pad</t>
  </si>
  <si>
    <t>f2_x</t>
  </si>
  <si>
    <t>f2_pad_z_bot</t>
  </si>
  <si>
    <t>f2_pad_z_top</t>
  </si>
  <si>
    <t>f2_pad_sec</t>
  </si>
  <si>
    <t>f2_pad_mat</t>
  </si>
  <si>
    <t>f2_bear_z_bot</t>
  </si>
  <si>
    <t>f2_bear_sec</t>
  </si>
  <si>
    <t>f2_bear_mat</t>
  </si>
  <si>
    <t>f2_frame_sec</t>
  </si>
  <si>
    <t>f2_frame_mat</t>
  </si>
  <si>
    <t>f2_num_bearings</t>
  </si>
  <si>
    <t>f2_shared_pad</t>
  </si>
  <si>
    <t>parametric / mct</t>
  </si>
  <si>
    <t>Путь к .mct тела
(если mct)</t>
  </si>
  <si>
    <t>Путь к .mct свай</t>
  </si>
  <si>
    <t>Узлы
ростверка</t>
  </si>
  <si>
    <t>Эл-ты
ростверка</t>
  </si>
  <si>
    <t>Узлы
стойки</t>
  </si>
  <si>
    <t>Эл-ты
стойки</t>
  </si>
  <si>
    <t>Узлы
ригеля</t>
  </si>
  <si>
    <t>Эл-ты
ригеля</t>
  </si>
  <si>
    <t>Узлы
рамки 1</t>
  </si>
  <si>
    <t>Эл-ты
рамки 1</t>
  </si>
  <si>
    <t>Узлы
рамки 2</t>
  </si>
  <si>
    <t>Эл-ты
рамки 2</t>
  </si>
  <si>
    <t>Z верха
ростверка, м</t>
  </si>
  <si>
    <t>Шаг, м</t>
  </si>
  <si>
    <t>№ мат.</t>
  </si>
  <si>
    <t>№ сеч.
зоны 1</t>
  </si>
  <si>
    <t>TS-GROUP
зоны 1</t>
  </si>
  <si>
    <t>Z верха
зоны 1</t>
  </si>
  <si>
    <t>№ сеч.
зоны 2</t>
  </si>
  <si>
    <t>TS-GROUP
зоны 2</t>
  </si>
  <si>
    <t>Z верха
стойки, м</t>
  </si>
  <si>
    <t>Z верха
зоны 2</t>
  </si>
  <si>
    <t>№ сеч.
зоны 3</t>
  </si>
  <si>
    <t>TS-GROUP
зоны 3</t>
  </si>
  <si>
    <t>Z верха
ригеля, м</t>
  </si>
  <si>
    <t>Z верха
зоны 3</t>
  </si>
  <si>
    <t>№ сеч.
зоны 4</t>
  </si>
  <si>
    <t>TS-GROUP
зоны 4</t>
  </si>
  <si>
    <t>X рамки 1, м</t>
  </si>
  <si>
    <t>Z низа подф.
(= верх ригеля)</t>
  </si>
  <si>
    <t>Z верха подф.
(= bear_z_bot)</t>
  </si>
  <si>
    <t>№ сеч.
подф.</t>
  </si>
  <si>
    <t>№ мат.
подф.</t>
  </si>
  <si>
    <t>Z низа оп.ч.
(= pad_z_top)</t>
  </si>
  <si>
    <t>№ сеч.
оп.части</t>
  </si>
  <si>
    <t>№ мат.
оп.части</t>
  </si>
  <si>
    <t>№ сеч.
рамки</t>
  </si>
  <si>
    <t>№ мат.
рамки</t>
  </si>
  <si>
    <t>Оп.частей
на подф. (1/2)</t>
  </si>
  <si>
    <t>Общий подф.
с рамкой 2 (да/нет)</t>
  </si>
  <si>
    <t>X рамки 2, м</t>
  </si>
  <si>
    <t>Z низа подф.</t>
  </si>
  <si>
    <t>Z верха подф.</t>
  </si>
  <si>
    <t>Z низа оп.ч.</t>
  </si>
  <si>
    <t>Общий подф.
с рамкой 1 (да/нет)</t>
  </si>
  <si>
    <t>parametric</t>
  </si>
  <si>
    <t>нет</t>
  </si>
  <si>
    <t>да</t>
  </si>
  <si>
    <t>* f1_shared_pad = "да" → подферменники рамок 1 и 2 общие (один узел на стыке), как в О6</t>
  </si>
  <si>
    <t>* f1_num_bearings: 1 = на один подферменник опирается одна оп. часть; 2 = две оп. части соседних рамок</t>
  </si>
  <si>
    <t>* Структура рамки снизу вверх: подф. → оп.часть → вертикаль (z_hinge→z_cg) → горизонталь 1 (z_cg)</t>
  </si>
  <si>
    <t>*   В схеме with_temp добавляются: вертикаль 2 (z_cg→z_road) + горизонталь 2 (z_road)</t>
  </si>
  <si>
    <t>* Все элементы рамки (вертикали + горизонтали) имеют одно сечение f{N}_frame_sec и материал f{N}_frame_mat</t>
  </si>
  <si>
    <t>* RigidLink: мастер = ось ригеля на pad_z_bot, слейвы = нижние узлы подф. обеих рамок</t>
  </si>
  <si>
    <t>* FRAME-RLS (шарниры) ставятся на элементы опорных частей (bear), а не подферменников</t>
  </si>
  <si>
    <t>* Серые ячейки — необязательные; для 1 рамки все поля f2_* оставьте пустыми</t>
  </si>
  <si>
    <t>Площади сечений элементов, м²
(для масс воды и разжижения)</t>
  </si>
  <si>
    <t>Разжиженный грунт</t>
  </si>
  <si>
    <t>Боковое давление грунта</t>
  </si>
  <si>
    <t>Масса воды</t>
  </si>
  <si>
    <t>Нагрузка от грунта
на ростверк</t>
  </si>
  <si>
    <t>pile_area_top</t>
  </si>
  <si>
    <t>pile_area_bot</t>
  </si>
  <si>
    <t>liq_present</t>
  </si>
  <si>
    <t>liq_z_top</t>
  </si>
  <si>
    <t>liq_z_bot</t>
  </si>
  <si>
    <t>liq_gamma</t>
  </si>
  <si>
    <t>pres_gamma</t>
  </si>
  <si>
    <t>pres_phi</t>
  </si>
  <si>
    <t>water_present</t>
  </si>
  <si>
    <t>water_z_top</t>
  </si>
  <si>
    <t>water_z_bot</t>
  </si>
  <si>
    <t>soil_on_cap_present</t>
  </si>
  <si>
    <t>soil_on_cap_gamma</t>
  </si>
  <si>
    <t>soil_on_cap_h</t>
  </si>
  <si>
    <t>S сваи
вверху, м²</t>
  </si>
  <si>
    <t>S сваи
внизу, м²</t>
  </si>
  <si>
    <t>Разжижение
(да/нет)</t>
  </si>
  <si>
    <t>Z верха слоя
разжижения, м</t>
  </si>
  <si>
    <t>Z низа слоя
разжижения, м</t>
  </si>
  <si>
    <t>γ разж.,
тс/м³</t>
  </si>
  <si>
    <t>Z поверхн.
грунта, м</t>
  </si>
  <si>
    <t>Z низа
эпюры, м</t>
  </si>
  <si>
    <t>γ грунта,
тс/м³</t>
  </si>
  <si>
    <t>φ, °</t>
  </si>
  <si>
    <t>Вода
(да/нет)</t>
  </si>
  <si>
    <t>Z верха
слоя воды, м</t>
  </si>
  <si>
    <t>Z низа
слоя воды, м</t>
  </si>
  <si>
    <t>h грунта над
ростверком, м</t>
  </si>
  <si>
    <t>* Площади сечений: задаются в верхней и нижней точке каждой части; используются для масс воды и разжиженного грунта</t>
  </si>
  <si>
    <t>* Масса воды/разжижения: S центра элемента = линейная интерполяция S_bot→S_top; m = γ × S_центра × L / g → mX, mY к верхнему узлу</t>
  </si>
  <si>
    <t>* Зона разжижения может захватывать элементы разных частей; площадь интерполируется из liq_area_bot/top по всей зоне</t>
  </si>
  <si>
    <t>* q давления: q(z) = γ × (z_surf − z) × tan²(45° − φ/2) × b, тс/м → BEAMLOAD TRAP GX на подземные элементы</t>
  </si>
  <si>
    <t>* Нагрузка от грунта на ростверк: F = soil_on_cap_gamma × soil_on_cap_h × cap_area_top → CONLOAD FZ вниз в верхний узел ростверка</t>
  </si>
  <si>
    <t>СПРАВКА — mct_generator.py</t>
  </si>
  <si>
    <t>ЗАПУСК</t>
  </si>
  <si>
    <t>Плеть 2</t>
  </si>
  <si>
    <t>O5</t>
  </si>
  <si>
    <t>Отметки Z ОЧ СПРАВА по ходу возрастания пикетажа, м</t>
  </si>
  <si>
    <t>Не учтено, что может быть две неподвижные оч вдоль</t>
  </si>
  <si>
    <t>node_offset_piles</t>
  </si>
  <si>
    <t>elem_offset_piles</t>
  </si>
  <si>
    <t>Sochi_PK12</t>
  </si>
  <si>
    <t>Цвет ячеек для заполнения</t>
  </si>
  <si>
    <t>Нагрузка от грунта
на ростверк (да/нет)</t>
  </si>
  <si>
    <t xml:space="preserve">    python mct_generator.py seismic_input.xlsx [папка_вывода]</t>
  </si>
  <si>
    <t xml:space="preserve">    Для каждой опоры генерируются два файла:</t>
  </si>
  <si>
    <t xml:space="preserve">      {pier_name}_no_temp.mct   — без временной нагрузки</t>
  </si>
  <si>
    <t xml:space="preserve">      {pier_name}_with_temp.mct — с временной нагрузкой</t>
  </si>
  <si>
    <t xml:space="preserve">    Сейсмическое воздействие (*SFUNCTION, *SPLDCASE, *EIGEN-CTRL, *LOADCOMB) задаётся в Midas Civil вручную.</t>
  </si>
  <si>
    <t>ЦВЕТА ЯЧЕЕК</t>
  </si>
  <si>
    <t xml:space="preserve">    Синие   — обязательный ввод пользователя.</t>
  </si>
  <si>
    <t xml:space="preserve">    Серые   — необязательные поля (пусто = не используется).</t>
  </si>
  <si>
    <t xml:space="preserve">    Зелёные — вычисляются автоматически по формулам Excel.</t>
  </si>
  <si>
    <t>ЛИСТ «ПРОЕКТ»</t>
  </si>
  <si>
    <t xml:space="preserve">    Строка 2: ключ (machine-readable) — Python читает по нему значение из столбца D.</t>
  </si>
  <si>
    <t xml:space="preserve">    project_name — название проекта (используется в комментариях выходных .mct файлов).</t>
  </si>
  <si>
    <t xml:space="preserve">    gravity      — ускорение свободного падения g, м/с². Используется во всех расчётах масс.</t>
  </si>
  <si>
    <t xml:space="preserve">    mu           — коэффициент трения опорных частей. Применяется для movable ОЧ.</t>
  </si>
  <si>
    <t>ЛИСТ «ПЛЕТЬ»</t>
  </si>
  <si>
    <t xml:space="preserve">    Одна строка = одна опора. Строку-разделитель «Плеть N» Python пропускает.</t>
  </si>
  <si>
    <t xml:space="preserve">    Структура строки (19 столбцов):</t>
  </si>
  <si>
    <t xml:space="preserve">      A: pier_name                — имя опоры</t>
  </si>
  <si>
    <t xml:space="preserve">      B–D: r_z_hinge, r_z_cg, r_z_road  — отметки Z для ПРАВОЙ ОЧ: шарнир, ЦТ пролёта, верх проезжей части</t>
  </si>
  <si>
    <t xml:space="preserve">      E–G: l_z_hinge, l_z_cg, l_z_road  — отметки Z для ЛЕВОЙ ОЧ (могут отличаться от правой)</t>
  </si>
  <si>
    <t xml:space="preserve">      H–M: правая ОЧ (СПРАВА): r_bearing_no, r_bearing_X, r_bearing_Y, r_R_perm, r_R_temp, r_mu_X</t>
  </si>
  <si>
    <t xml:space="preserve">      N–S: левая ОЧ (СЛЕВА):   l_bearing_no, l_bearing_X, l_bearing_Y, l_R_perm, l_R_temp, l_mu_X</t>
  </si>
  <si>
    <t xml:space="preserve">    bearing_X / bearing_Y: "fixed" или "movable".</t>
  </si>
  <si>
    <t xml:space="preserve">    mu_X задаётся только для movable; для fixed оставьте пустым.</t>
  </si>
  <si>
    <t>ЛИСТ «МАССЫ»</t>
  </si>
  <si>
    <t xml:space="preserve">    Одна строка = одна опора. Формулы Excel рассчитывают массы — Python читает готовые числа.</t>
  </si>
  <si>
    <t xml:space="preserve">    Перед запуском скрипта пересчитайте формулы в Excel (F9 или Ctrl+Alt+F9).</t>
  </si>
  <si>
    <t xml:space="preserve">    Столбцы C/D: plety_row_start / plety_row_end — номера строк плети на листе «Плеть»</t>
  </si>
  <si>
    <t xml:space="preserve">      (одна строка на опору → C = D; несколько опор в плети → C и D разные).</t>
  </si>
  <si>
    <t xml:space="preserve">    Логика расчёта масс по СП 268.1325800.2016:</t>
  </si>
  <si>
    <t xml:space="preserve">      mX (п. 8.3.23): bearing_X = "fixed" → ΣR_пост всей плети / g → узел z_hinge.</t>
  </si>
  <si>
    <t xml:space="preserve">                       bearing_X = "movable" → ΣR_пост опоры × μX / g → узел z_hinge.</t>
  </si>
  <si>
    <t xml:space="preserve">      mY (п. 8.3.24): R_пост × μY / g → узел z_cg.</t>
  </si>
  <si>
    <t xml:space="preserve">      mZ (п. 8.3.24): R_пост / g → узел z_cg.</t>
  </si>
  <si>
    <t xml:space="preserve">      Временная нагрузка (схема with_temp): аналогично, узел z_road.</t>
  </si>
  <si>
    <t xml:space="preserve">    Ключи, которые читает Python:</t>
  </si>
  <si>
    <t xml:space="preserve">      r_mx_mass, r_my_mass, r_mz_mass — постоянная нагрузка, правая ОЧ</t>
  </si>
  <si>
    <t xml:space="preserve">      l_mx_mass, l_my_mass, l_mz_mass — постоянная нагрузка, левая ОЧ</t>
  </si>
  <si>
    <t xml:space="preserve">      r_mx_t_mass, r_my_t_mass, r_mz_t_mass — временная, правая ОЧ</t>
  </si>
  <si>
    <t xml:space="preserve">      l_mx_t_mass, l_my_t_mass, l_mz_t_mass — временная, левая ОЧ</t>
  </si>
  <si>
    <t xml:space="preserve">      r_mx_z / r_my_z / r_mz_z — z-отметки узлов правой ОЧ (z_hinge и z_cg)</t>
  </si>
  <si>
    <t xml:space="preserve">      l_mx_z / l_my_z / l_mz_z — z-отметки узлов левой ОЧ</t>
  </si>
  <si>
    <t>ЛИСТ «ОПОРЫ»</t>
  </si>
  <si>
    <t xml:space="preserve">    Одна строка = одна опора. Строка 2 — machine-readable ключи. Строка 3 — описания.</t>
  </si>
  <si>
    <t xml:space="preserve">    Столбцы A–F: идентификация:</t>
  </si>
  <si>
    <t xml:space="preserve">      pier_name, geom_source (parametric / mct), plety_row_start, plety_row_end,</t>
  </si>
  <si>
    <t xml:space="preserve">      mct_path (путь к .mct тела опоры, если mct), pile_mct_path (путь к .mct свай).</t>
  </si>
  <si>
    <t xml:space="preserve">    Столбцы G–R: офсеты нумерации узлов и элементов для каждой части:</t>
  </si>
  <si>
    <t xml:space="preserve">      ростверк, стойка, ригель, рамка 1, рамка 2, сваи.</t>
  </si>
  <si>
    <t xml:space="preserve">    Столбцы S–AB: ростверк (до 2 зон сечений по Z): z_top, step, mat, sec_1, ts_group, ts_no, z_top_зоны, sec_2, ts_group, ts_no.</t>
  </si>
  <si>
    <t xml:space="preserve">    Столбцы AC–AP: стойка (до 3 зон по Z).</t>
  </si>
  <si>
    <t xml:space="preserve">    Столбцы AQ–BH: ригель (до 4 зон по Z).</t>
  </si>
  <si>
    <t xml:space="preserve">    Столбцы BI–BU: рамка 1 — x, pad_y, pad_z_bot, pad_z_top, pad_sec, pad_mat,</t>
  </si>
  <si>
    <t xml:space="preserve">      bear_z_bot, bear_sec, bear_mat, frame_sec, frame_mat, num_bearings, shared_pad.</t>
  </si>
  <si>
    <t xml:space="preserve">    Столбцы BV–CH: рамка 2 — аналогично (пусто = одна рамка).</t>
  </si>
  <si>
    <t xml:space="preserve">    TS-GROUP: ts_group = "да" / "нет", ts_no = номер группы.</t>
  </si>
  <si>
    <t xml:space="preserve">      Формат в .mct: {ts_no}, {elem_first}to{elem_last}, LINEAR, , , , LINEAR, , , , 0</t>
  </si>
  <si>
    <t xml:space="preserve">    f1_shared_pad = "да" → подферменники рамок 1 и 2 общие (один узел на стыке).</t>
  </si>
  <si>
    <t xml:space="preserve">    f1_num_bearings: 1 = одна ОЧ на подферменник; 2 = две ОЧ соседних рамок.</t>
  </si>
  <si>
    <t xml:space="preserve">    plety_row_start/end — строки на листе «Плеть» (те же, что и в листе «Массы»).</t>
  </si>
  <si>
    <t>ЛИСТ «ГРУНТ»</t>
  </si>
  <si>
    <t xml:space="preserve">    Одна строка = одна опора. Строка 2 — ключи. Строка 3 — описания.</t>
  </si>
  <si>
    <t xml:space="preserve">    Блок «Площади сечений» (B–G) — используется для масс воды и разжиженного грунта:</t>
  </si>
  <si>
    <t xml:space="preserve">      cap_area_top/bot — площадь ростверка вверху/внизу, м².</t>
  </si>
  <si>
    <t xml:space="preserve">      col_area_top/bot — площадь стойки вверху/внизу, м².</t>
  </si>
  <si>
    <t xml:space="preserve">      pile_area_top/bot — площадь сваи вверху/внизу, м².</t>
  </si>
  <si>
    <t xml:space="preserve">    Блок «Разжиженный грунт» (H–K):</t>
  </si>
  <si>
    <t xml:space="preserve">      liq_present (да/нет), liq_z_top, liq_z_bot, liq_gamma (γ, тс/м³).</t>
  </si>
  <si>
    <t xml:space="preserve">      Масса: S_центра = линейная интерполяция площади по Z;</t>
  </si>
  <si>
    <t xml:space="preserve">      m = γ × S_центра × L_элемента / g → mX, mY к верхнему узлу каждого элемента.</t>
  </si>
  <si>
    <t xml:space="preserve">      Площадь берётся из блока «Площади сечений» для той части, в которой элемент.</t>
  </si>
  <si>
    <t xml:space="preserve">      Зона разжижения может захватывать элементы разных частей опоры.</t>
  </si>
  <si>
    <t xml:space="preserve">    Блок «Боковое давление грунта» (L–Q):</t>
  </si>
  <si>
    <t xml:space="preserve">      pressure_present, pres_z_surf, pres_z_bot, pres_gamma, pres_phi (φ, °).</t>
  </si>
  <si>
    <t xml:space="preserve">      q(z) = γ × (z_surf − z) × tan²(45° − φ/2) × b, тс/м → BEAMLOAD TRAP GX.</t>
  </si>
  <si>
    <t xml:space="preserve">      b (ширина сечения) задаётся отдельным полем pres_b.</t>
  </si>
  <si>
    <t xml:space="preserve">    Блок «Масса воды» (R–T):</t>
  </si>
  <si>
    <t xml:space="preserve">      water_present, water_z_top, water_z_bot.</t>
  </si>
  <si>
    <t xml:space="preserve">      Логика та же, что для разжижения, но γ = 1 тс/м³ (пресная вода).</t>
  </si>
  <si>
    <t xml:space="preserve">    Блок «Нагрузка от грунта на ростверк» (U–W):</t>
  </si>
  <si>
    <t xml:space="preserve">      soil_on_cap_present, soil_on_cap_gamma, soil_on_cap_h.</t>
  </si>
  <si>
    <t xml:space="preserve">      F = γ × h × cap_area_top, тс → CONLOAD FZ вниз в верхний узел ростверка (загружение СВ).</t>
  </si>
  <si>
    <t>СТРУКТУРА ОПОРЫ (geom_source = parametric)</t>
  </si>
  <si>
    <t xml:space="preserve">    Z = 0 = подошва ростверка. Все отметки Z — абсолютные, от этого уровня.</t>
  </si>
  <si>
    <t xml:space="preserve">    Снизу вверх:</t>
  </si>
  <si>
    <t xml:space="preserve">      Ростверк  (до 2 зон по Z) — вертикальный стержень по оси X=0, Y=0.</t>
  </si>
  <si>
    <t xml:space="preserve">      Стойка    (до 3 зон по Z) — продолжение вверх по той же оси.</t>
  </si>
  <si>
    <t xml:space="preserve">      Ригель    (до 4 зон по Z) — продолжение вверх.</t>
  </si>
  <si>
    <t xml:space="preserve">      Подферменники (2 шт., Y = ±pad_y, X = f{N}_x):</t>
  </si>
  <si>
    <t xml:space="preserve">        → Подферменник: pad_z_bot → pad_z_top</t>
  </si>
  <si>
    <t xml:space="preserve">        → Опорная часть (bear, no sw): pad_z_top → z_hinge</t>
  </si>
  <si>
    <t xml:space="preserve">        → Вертикаль рамки: z_hinge → z_cg</t>
  </si>
  <si>
    <t xml:space="preserve">        → [only with_temp] Продолжение вертикали: z_cg → z_road</t>
  </si>
  <si>
    <t xml:space="preserve">      Горизонталь 1 (постоянная): на z_cg, Y=−pad_y → Y=0 → Y=+pad_y.</t>
  </si>
  <si>
    <t xml:space="preserve">      Горизонталь 2 (only with_temp): на z_road, аналогично.</t>
  </si>
  <si>
    <t xml:space="preserve">      RigidLink: мастер = узел оси ригеля на pad_z_bot,</t>
  </si>
  <si>
    <t xml:space="preserve">                 слейвы = нижние узлы подферменников всех рамок.</t>
  </si>
  <si>
    <t xml:space="preserve">      При наличии свай (.mct файл) — дополнительный RigidLink:</t>
  </si>
  <si>
    <t xml:space="preserve">        мастер = нижний узел ростверка, слейвы = головы свай.</t>
  </si>
  <si>
    <t>ШАРНИРЫ FRAME-RLS</t>
  </si>
  <si>
    <t xml:space="preserve">    Ставятся на элементы ОПОРНЫХ ЧАСТЕЙ (bear), а не подферменников.</t>
  </si>
  <si>
    <t xml:space="preserve">    Всегда освобождены: My, Mz (биты 4 и 5) на обоих концах.</t>
  </si>
  <si>
    <t xml:space="preserve">    movable X → дополнительно Fx (бит 0) на верхнем конце (конец j).</t>
  </si>
  <si>
    <t xml:space="preserve">    movable Y → дополнительно Fy (бит 1) на верхнем конце (конец j).</t>
  </si>
  <si>
    <t>z_hinge</t>
  </si>
  <si>
    <t>z_cg</t>
  </si>
  <si>
    <t>z_road</t>
  </si>
  <si>
    <t>Считать?</t>
  </si>
  <si>
    <t>calculate</t>
  </si>
  <si>
    <t>да / нет</t>
  </si>
  <si>
    <t>mct</t>
  </si>
  <si>
    <t>не выдает ошибку, если нет пути</t>
  </si>
  <si>
    <t>o4.mct</t>
  </si>
  <si>
    <t>o4_6.mct</t>
  </si>
  <si>
    <t>не сделан случай, когда по mct считается?</t>
  </si>
  <si>
    <t>Перенос и поворот</t>
  </si>
  <si>
    <t>shift_x</t>
  </si>
  <si>
    <t>shift_y</t>
  </si>
  <si>
    <t>shift_z</t>
  </si>
  <si>
    <t>rotation_angle</t>
  </si>
  <si>
    <t>Перенос по x, м</t>
  </si>
  <si>
    <t>Перенос по y, м</t>
  </si>
  <si>
    <t>Перенос по z, м</t>
  </si>
  <si>
    <t>Угол поворота (положительное направление против часовой стрелки, если смотрим сверху), град</t>
  </si>
  <si>
    <t xml:space="preserve">Узлы
свай </t>
  </si>
  <si>
    <t>Эл-ты
свай</t>
  </si>
  <si>
    <t>y_pressure_present</t>
  </si>
  <si>
    <t>y_pres_z_surf</t>
  </si>
  <si>
    <t>y_pres_z_bot</t>
  </si>
  <si>
    <t>z_pressure_present</t>
  </si>
  <si>
    <t>z_pres_z_surf</t>
  </si>
  <si>
    <t>z_pres_z_bot</t>
  </si>
  <si>
    <t>Давление по локальной оси y
(да/нет)</t>
  </si>
  <si>
    <t>Давление по локальной оси z
(да/нет)</t>
  </si>
  <si>
    <t>Ширина сечений элементов, м
для бокового давления грунта</t>
  </si>
  <si>
    <t>pile_width</t>
  </si>
  <si>
    <t>Ширина сваи, м</t>
  </si>
  <si>
    <t>f1_r_pad_y</t>
  </si>
  <si>
    <t>f1_l_pad_y</t>
  </si>
  <si>
    <t>Y левого подф., м</t>
  </si>
  <si>
    <t>Y правого подф., м</t>
  </si>
  <si>
    <t>f2_r_pad_y</t>
  </si>
  <si>
    <t>f2_l_pad_y</t>
  </si>
  <si>
    <t>Z верха проезжей.
части, м</t>
  </si>
  <si>
    <t>S стойки
вверху
(1 зона), м²</t>
  </si>
  <si>
    <t>S стойки
внизу
(1 зона), м²</t>
  </si>
  <si>
    <t>cap_area_sec_1_top</t>
  </si>
  <si>
    <t>cap_area_sec_1_bot</t>
  </si>
  <si>
    <t>S ростверка
вверху
(1 зона), м²</t>
  </si>
  <si>
    <t>S ростверка
внизу
(1 зона), м²</t>
  </si>
  <si>
    <t>cap_area_sec_2_top</t>
  </si>
  <si>
    <t>cap_area_sec_2_bot</t>
  </si>
  <si>
    <t>S ростверка
внизу
(2 зона), м²</t>
  </si>
  <si>
    <t>S ростверка
вверху
(2 зона), м²</t>
  </si>
  <si>
    <t>S стойки
вверху
(3 зона), м²</t>
  </si>
  <si>
    <t>col_area_sec_1_top</t>
  </si>
  <si>
    <t>col_area_sec_1_bot</t>
  </si>
  <si>
    <t>col_area_sec_2_top</t>
  </si>
  <si>
    <t>col_area_sec_2_bot</t>
  </si>
  <si>
    <t>S стойки
вверху
(2 зона), м²</t>
  </si>
  <si>
    <t>S стойки
внизу
(2 зона), м²</t>
  </si>
  <si>
    <t>S стойки
внизу
(3 зона), м²</t>
  </si>
  <si>
    <t>№ группы 1</t>
  </si>
  <si>
    <t>№ группы 2</t>
  </si>
  <si>
    <t>№ группы 3</t>
  </si>
  <si>
    <t>№ группы 4</t>
  </si>
  <si>
    <t>cap_sec_1_width</t>
  </si>
  <si>
    <t>col_sec_1_width</t>
  </si>
  <si>
    <t>col_sec_2_width</t>
  </si>
  <si>
    <t>col_sec_3_width</t>
  </si>
  <si>
    <t>Ширина ростверка
(1 зона), м</t>
  </si>
  <si>
    <t>Ширина ростверка
(2 зона), м</t>
  </si>
  <si>
    <t>Ширина стойки
(1 зона), м</t>
  </si>
  <si>
    <t>Ширина стойки
(2 зона), м</t>
  </si>
  <si>
    <t>Ширина стойки
(3 зона), м</t>
  </si>
  <si>
    <t>cap_sec_2_width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</si>
</sst>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204"/>
    </font>
    <font>
      <b/>
      <sz val="9"/>
      <color rgb="FF1F3864"/>
      <name val="Arial"/>
      <family val="2"/>
      <charset val="204"/>
    </font>
    <font>
      <b/>
      <sz val="8"/>
      <color rgb="FF1F3864"/>
      <name val="Arial"/>
      <family val="2"/>
      <charset val="204"/>
    </font>
    <font>
      <i/>
      <sz val="8"/>
      <color rgb="FF595959"/>
      <name val="Arial"/>
      <family val="2"/>
      <charset val="204"/>
    </font>
    <font>
      <sz val="9"/>
      <color rgb="FF1F3864"/>
      <name val="Arial"/>
      <family val="2"/>
      <charset val="204"/>
    </font>
    <font>
      <sz val="9"/>
      <color rgb="FF808080"/>
      <name val="Arial"/>
      <family val="2"/>
      <charset val="204"/>
    </font>
    <font>
      <sz val="9"/>
      <color rgb="FF375623"/>
      <name val="Arial"/>
      <family val="2"/>
      <charset val="204"/>
    </font>
    <font>
      <sz val="9"/>
      <name val="Arial"/>
      <family val="2"/>
      <charset val="204"/>
    </font>
    <font>
      <sz val="9"/>
      <color rgb="FFEE0000"/>
      <name val="Arial"/>
      <family val="2"/>
      <charset val="204"/>
    </font>
    <font>
      <sz val="11"/>
      <color rgb="FFEE0000"/>
      <name val="Calibri"/>
      <family val="2"/>
      <scheme val="minor"/>
    </font>
    <font>
      <sz val="9"/>
      <color rgb="FF1F3864"/>
      <name val="Arial"/>
      <family val="2"/>
      <charset val="204"/>
    </font>
    <font>
      <i/>
      <sz val="8"/>
      <color rgb="FF595959"/>
      <name val="Arial"/>
      <family val="2"/>
      <charset val="204"/>
    </font>
    <font>
      <i/>
      <sz val="12"/>
      <color rgb="FFEE0000"/>
      <name val="Arial"/>
      <family val="2"/>
      <charset val="204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DD5E8"/>
      </patternFill>
    </fill>
    <fill>
      <patternFill patternType="solid">
        <fgColor rgb="FFDAE3F3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3C3C8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2" fontId="7" fillId="11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7" fillId="16" borderId="1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0" borderId="0" xfId="0" applyFont="1"/>
    <xf numFmtId="0" fontId="11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0" fillId="17" borderId="0" xfId="0" applyFill="1"/>
    <xf numFmtId="0" fontId="13" fillId="0" borderId="0" xfId="0" applyFont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5" fillId="1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2" fontId="7" fillId="11" borderId="0" xfId="0" applyNumberFormat="1" applyFont="1" applyFill="1" applyAlignment="1">
      <alignment horizontal="center" vertical="center" wrapText="1"/>
    </xf>
    <xf numFmtId="164" fontId="7" fillId="16" borderId="0" xfId="0" applyNumberFormat="1" applyFont="1" applyFill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" fillId="9" borderId="0" xfId="0" applyFont="1" applyFill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2" xfId="0" applyFill="1" applyBorder="1"/>
    <xf numFmtId="0" fontId="0" fillId="12" borderId="3" xfId="0" applyFill="1" applyBorder="1"/>
    <xf numFmtId="0" fontId="1" fillId="13" borderId="1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0" fillId="13" borderId="3" xfId="0" applyFill="1" applyBorder="1"/>
    <xf numFmtId="0" fontId="1" fillId="15" borderId="1" xfId="0" applyFont="1" applyFill="1" applyBorder="1" applyAlignment="1">
      <alignment horizontal="center" vertical="center" wrapText="1"/>
    </xf>
    <xf numFmtId="0" fontId="0" fillId="15" borderId="2" xfId="0" applyFill="1" applyBorder="1"/>
    <xf numFmtId="0" fontId="0" fillId="15" borderId="3" xfId="0" applyFill="1" applyBorder="1"/>
    <xf numFmtId="0" fontId="1" fillId="14" borderId="1" xfId="0" applyFont="1" applyFill="1" applyBorder="1" applyAlignment="1">
      <alignment horizontal="center" vertical="center" wrapText="1"/>
    </xf>
    <xf numFmtId="0" fontId="0" fillId="14" borderId="2" xfId="0" applyFill="1" applyBorder="1"/>
    <xf numFmtId="0" fontId="0" fillId="14" borderId="3" xfId="0" applyFill="1" applyBorder="1"/>
    <xf numFmtId="0" fontId="1" fillId="18" borderId="1" xfId="0" applyFont="1" applyFill="1" applyBorder="1" applyAlignment="1">
      <alignment horizontal="center" vertical="center" wrapText="1"/>
    </xf>
    <xf numFmtId="0" fontId="0" fillId="18" borderId="2" xfId="0" applyFill="1" applyBorder="1"/>
    <xf numFmtId="0" fontId="1" fillId="8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5" sqref="D5"/>
    </sheetView>
  </sheetViews>
  <sheetFormatPr defaultRowHeight="15" x14ac:dyDescent="0.25"/>
  <cols>
    <col min="1" max="1" width="36" customWidth="1"/>
    <col min="2" max="2" width="18" customWidth="1"/>
    <col min="3" max="3" width="58" customWidth="1"/>
    <col min="4" max="4" width="42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.95" customHeight="1" x14ac:dyDescent="0.25">
      <c r="A2" s="2" t="s">
        <v>4</v>
      </c>
      <c r="B2" s="3" t="s">
        <v>5</v>
      </c>
      <c r="C2" s="4" t="s">
        <v>6</v>
      </c>
      <c r="D2" s="20" t="s">
        <v>315</v>
      </c>
    </row>
    <row r="3" spans="1:4" ht="21.95" customHeight="1" x14ac:dyDescent="0.25">
      <c r="A3" s="2" t="s">
        <v>7</v>
      </c>
      <c r="B3" s="3" t="s">
        <v>8</v>
      </c>
      <c r="C3" s="4" t="s">
        <v>9</v>
      </c>
      <c r="D3" s="21">
        <v>9.8059999999999992</v>
      </c>
    </row>
    <row r="4" spans="1:4" ht="21.95" customHeight="1" x14ac:dyDescent="0.25">
      <c r="A4" s="2" t="s">
        <v>10</v>
      </c>
      <c r="B4" s="3" t="s">
        <v>11</v>
      </c>
      <c r="C4" s="4" t="s">
        <v>12</v>
      </c>
      <c r="D4" s="21">
        <v>0.08</v>
      </c>
    </row>
    <row r="6" spans="1:4" ht="22.5" x14ac:dyDescent="0.25">
      <c r="A6" s="6" t="s">
        <v>13</v>
      </c>
      <c r="C6" s="23" t="s">
        <v>316</v>
      </c>
      <c r="D6" s="22"/>
    </row>
    <row r="7" spans="1:4" ht="22.5" x14ac:dyDescent="0.25">
      <c r="A7" s="6" t="s">
        <v>14</v>
      </c>
    </row>
    <row r="8" spans="1:4" ht="22.5" x14ac:dyDescent="0.25">
      <c r="A8" s="6" t="s">
        <v>15</v>
      </c>
    </row>
    <row r="9" spans="1:4" ht="33.75" x14ac:dyDescent="0.25">
      <c r="A9" s="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pane ySplit="4" topLeftCell="A5" activePane="bottomLeft" state="frozen"/>
      <selection pane="bottomLeft" activeCell="F16" sqref="F16"/>
    </sheetView>
  </sheetViews>
  <sheetFormatPr defaultRowHeight="15" x14ac:dyDescent="0.25"/>
  <cols>
    <col min="1" max="1" width="16" customWidth="1"/>
    <col min="2" max="4" width="14" customWidth="1"/>
    <col min="5" max="5" width="10" customWidth="1"/>
    <col min="6" max="7" width="14" customWidth="1"/>
    <col min="8" max="9" width="12" customWidth="1"/>
    <col min="10" max="10" width="11" customWidth="1"/>
    <col min="11" max="11" width="10" customWidth="1"/>
    <col min="12" max="13" width="14" customWidth="1"/>
    <col min="14" max="15" width="12" customWidth="1"/>
    <col min="16" max="16" width="11" customWidth="1"/>
  </cols>
  <sheetData>
    <row r="1" spans="1:16" ht="21.95" customHeight="1" x14ac:dyDescent="0.25">
      <c r="A1" s="36" t="s">
        <v>17</v>
      </c>
      <c r="B1" s="37"/>
      <c r="C1" s="37"/>
      <c r="D1" s="37"/>
      <c r="E1" s="42" t="s">
        <v>18</v>
      </c>
      <c r="F1" s="40"/>
      <c r="G1" s="40"/>
      <c r="H1" s="40"/>
      <c r="I1" s="40"/>
      <c r="J1" s="40"/>
      <c r="K1" s="39" t="s">
        <v>19</v>
      </c>
      <c r="L1" s="40"/>
      <c r="M1" s="40"/>
      <c r="N1" s="40"/>
      <c r="O1" s="40"/>
      <c r="P1" s="40"/>
    </row>
    <row r="2" spans="1:16" ht="29.25" customHeight="1" x14ac:dyDescent="0.25">
      <c r="A2" s="1" t="s">
        <v>20</v>
      </c>
      <c r="B2" s="39" t="s">
        <v>311</v>
      </c>
      <c r="C2" s="40"/>
      <c r="D2" s="41"/>
      <c r="E2" s="42" t="s">
        <v>21</v>
      </c>
      <c r="F2" s="40"/>
      <c r="G2" s="41"/>
      <c r="H2" s="43" t="s">
        <v>22</v>
      </c>
      <c r="I2" s="41"/>
      <c r="J2" s="8" t="s">
        <v>23</v>
      </c>
      <c r="K2" s="39" t="s">
        <v>21</v>
      </c>
      <c r="L2" s="40"/>
      <c r="M2" s="41"/>
      <c r="N2" s="43" t="s">
        <v>22</v>
      </c>
      <c r="O2" s="41"/>
      <c r="P2" s="8" t="s">
        <v>23</v>
      </c>
    </row>
    <row r="3" spans="1:16" ht="31.5" customHeight="1" x14ac:dyDescent="0.25">
      <c r="A3" s="3" t="s">
        <v>24</v>
      </c>
      <c r="B3" s="3" t="s">
        <v>422</v>
      </c>
      <c r="C3" s="3" t="s">
        <v>423</v>
      </c>
      <c r="D3" s="3" t="s">
        <v>424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</row>
    <row r="4" spans="1:16" ht="36" customHeight="1" x14ac:dyDescent="0.25">
      <c r="A4" s="9" t="s">
        <v>37</v>
      </c>
      <c r="B4" s="9" t="s">
        <v>38</v>
      </c>
      <c r="C4" s="9" t="s">
        <v>39</v>
      </c>
      <c r="D4" s="9" t="s">
        <v>461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9" t="s">
        <v>40</v>
      </c>
      <c r="L4" s="9" t="s">
        <v>41</v>
      </c>
      <c r="M4" s="9" t="s">
        <v>42</v>
      </c>
      <c r="N4" s="9" t="s">
        <v>43</v>
      </c>
      <c r="O4" s="9" t="s">
        <v>44</v>
      </c>
      <c r="P4" s="9" t="s">
        <v>45</v>
      </c>
    </row>
    <row r="5" spans="1:16" ht="15.95" customHeight="1" x14ac:dyDescent="0.25">
      <c r="A5" s="34" t="s">
        <v>46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 ht="17.100000000000001" customHeight="1" x14ac:dyDescent="0.25">
      <c r="A6" s="21" t="s">
        <v>47</v>
      </c>
      <c r="B6" s="21">
        <v>49.19</v>
      </c>
      <c r="C6" s="21">
        <v>51.45</v>
      </c>
      <c r="D6" s="21">
        <v>53.45</v>
      </c>
      <c r="E6" s="21">
        <v>1</v>
      </c>
      <c r="F6" s="21" t="s">
        <v>48</v>
      </c>
      <c r="G6" s="21" t="s">
        <v>49</v>
      </c>
      <c r="H6" s="21">
        <v>950</v>
      </c>
      <c r="I6" s="21">
        <v>140</v>
      </c>
      <c r="J6" s="10">
        <f>IF($F6="fixed",1,Проект!$D$4)</f>
        <v>0.08</v>
      </c>
      <c r="K6" s="21">
        <v>2</v>
      </c>
      <c r="L6" s="21" t="s">
        <v>48</v>
      </c>
      <c r="M6" s="21" t="s">
        <v>48</v>
      </c>
      <c r="N6" s="21">
        <v>870</v>
      </c>
      <c r="O6" s="21">
        <v>130</v>
      </c>
      <c r="P6" s="10">
        <f>IF($F6="fixed",1,Проект!$D$4)</f>
        <v>0.08</v>
      </c>
    </row>
    <row r="7" spans="1:16" ht="17.100000000000001" customHeight="1" x14ac:dyDescent="0.25">
      <c r="A7" s="21" t="s">
        <v>50</v>
      </c>
      <c r="B7" s="21">
        <v>12.18</v>
      </c>
      <c r="C7" s="21">
        <v>14.23</v>
      </c>
      <c r="D7" s="21">
        <v>15.5</v>
      </c>
      <c r="E7" s="21">
        <v>1</v>
      </c>
      <c r="F7" s="21" t="s">
        <v>49</v>
      </c>
      <c r="G7" s="21" t="s">
        <v>49</v>
      </c>
      <c r="H7" s="21">
        <v>820</v>
      </c>
      <c r="I7" s="21">
        <v>110</v>
      </c>
      <c r="J7" s="10">
        <f>IF($F7="fixed",1,Проект!$D$4)</f>
        <v>1</v>
      </c>
      <c r="K7" s="21">
        <v>2</v>
      </c>
      <c r="L7" s="21" t="s">
        <v>49</v>
      </c>
      <c r="M7" s="21" t="s">
        <v>48</v>
      </c>
      <c r="N7" s="21">
        <v>647</v>
      </c>
      <c r="O7" s="21">
        <v>95</v>
      </c>
      <c r="P7" s="10">
        <f>IF($F7="fixed",1,Проект!$D$4)</f>
        <v>1</v>
      </c>
    </row>
    <row r="8" spans="1:16" ht="17.100000000000001" customHeight="1" x14ac:dyDescent="0.25">
      <c r="A8" s="21" t="s">
        <v>51</v>
      </c>
      <c r="B8" s="21">
        <v>49.19</v>
      </c>
      <c r="C8" s="21">
        <v>51.45</v>
      </c>
      <c r="D8" s="21">
        <v>53.45</v>
      </c>
      <c r="E8" s="21">
        <v>1</v>
      </c>
      <c r="F8" s="21" t="s">
        <v>48</v>
      </c>
      <c r="G8" s="21" t="s">
        <v>49</v>
      </c>
      <c r="H8" s="21">
        <v>950</v>
      </c>
      <c r="I8" s="21">
        <v>140</v>
      </c>
      <c r="J8" s="10">
        <f>IF($F8="fixed",1,Проект!$D$4)</f>
        <v>0.08</v>
      </c>
      <c r="K8" s="21">
        <v>2</v>
      </c>
      <c r="L8" s="21" t="s">
        <v>49</v>
      </c>
      <c r="M8" s="21" t="s">
        <v>48</v>
      </c>
      <c r="N8" s="21">
        <v>870</v>
      </c>
      <c r="O8" s="21">
        <v>130</v>
      </c>
      <c r="P8" s="10">
        <f>IF($F8="fixed",1,Проект!$D$4)</f>
        <v>0.08</v>
      </c>
    </row>
    <row r="9" spans="1:16" x14ac:dyDescent="0.25">
      <c r="A9" s="34" t="s">
        <v>309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 x14ac:dyDescent="0.25">
      <c r="A10" s="21" t="s">
        <v>51</v>
      </c>
      <c r="B10" s="21">
        <v>12.18</v>
      </c>
      <c r="C10" s="21">
        <v>14.23</v>
      </c>
      <c r="D10" s="21">
        <v>15.5</v>
      </c>
      <c r="E10" s="21">
        <v>3</v>
      </c>
      <c r="F10" s="21" t="s">
        <v>48</v>
      </c>
      <c r="G10" s="21" t="s">
        <v>49</v>
      </c>
      <c r="H10" s="21">
        <v>920</v>
      </c>
      <c r="I10" s="21">
        <v>150</v>
      </c>
      <c r="J10" s="10">
        <f>IF($F10="fixed",1,Проект!$D$4)</f>
        <v>0.08</v>
      </c>
      <c r="K10" s="21">
        <v>4</v>
      </c>
      <c r="L10" s="21" t="s">
        <v>48</v>
      </c>
      <c r="M10" s="21" t="s">
        <v>48</v>
      </c>
      <c r="N10" s="21">
        <v>880</v>
      </c>
      <c r="O10" s="21">
        <v>120</v>
      </c>
      <c r="P10" s="10">
        <f>IF($F10="fixed",1,Проект!$D$4)</f>
        <v>0.08</v>
      </c>
    </row>
    <row r="11" spans="1:16" x14ac:dyDescent="0.25">
      <c r="A11" s="21" t="s">
        <v>121</v>
      </c>
      <c r="B11" s="21">
        <v>12.18</v>
      </c>
      <c r="C11" s="21">
        <v>14.23</v>
      </c>
      <c r="D11" s="21">
        <v>15.5</v>
      </c>
      <c r="E11" s="21">
        <v>1</v>
      </c>
      <c r="F11" s="21" t="s">
        <v>49</v>
      </c>
      <c r="G11" s="21" t="s">
        <v>49</v>
      </c>
      <c r="H11" s="21">
        <v>820</v>
      </c>
      <c r="I11" s="21">
        <v>110</v>
      </c>
      <c r="J11" s="10">
        <f>IF($F11="fixed",1,Проект!$D$4)</f>
        <v>1</v>
      </c>
      <c r="K11" s="21">
        <v>2</v>
      </c>
      <c r="L11" s="21" t="s">
        <v>49</v>
      </c>
      <c r="M11" s="21" t="s">
        <v>48</v>
      </c>
      <c r="N11" s="21">
        <v>647</v>
      </c>
      <c r="O11" s="21">
        <v>95</v>
      </c>
      <c r="P11" s="10">
        <f>IF($F11="fixed",1,Проект!$D$4)</f>
        <v>1</v>
      </c>
    </row>
    <row r="12" spans="1:16" x14ac:dyDescent="0.25">
      <c r="A12" s="21" t="s">
        <v>310</v>
      </c>
      <c r="B12" s="21">
        <v>49.19</v>
      </c>
      <c r="C12" s="21">
        <v>51.45</v>
      </c>
      <c r="D12" s="21">
        <v>53.45</v>
      </c>
      <c r="E12" s="21">
        <v>1</v>
      </c>
      <c r="F12" s="21" t="s">
        <v>48</v>
      </c>
      <c r="G12" s="21" t="s">
        <v>49</v>
      </c>
      <c r="H12" s="21">
        <v>950</v>
      </c>
      <c r="I12" s="21">
        <v>140</v>
      </c>
      <c r="J12" s="10">
        <f>IF($F12="fixed",1,Проект!$D$4)</f>
        <v>0.08</v>
      </c>
      <c r="K12" s="21">
        <v>2</v>
      </c>
      <c r="L12" s="21" t="s">
        <v>48</v>
      </c>
      <c r="M12" s="21" t="s">
        <v>48</v>
      </c>
      <c r="N12" s="21">
        <v>870</v>
      </c>
      <c r="O12" s="21">
        <v>130</v>
      </c>
      <c r="P12" s="10">
        <f>IF($F12="fixed",1,Проект!$D$4)</f>
        <v>0.08</v>
      </c>
    </row>
    <row r="15" spans="1:16" ht="60" x14ac:dyDescent="0.25">
      <c r="A15" s="6" t="s">
        <v>52</v>
      </c>
      <c r="F15" s="18" t="s">
        <v>312</v>
      </c>
    </row>
    <row r="16" spans="1:16" ht="67.5" x14ac:dyDescent="0.25">
      <c r="A16" s="6" t="s">
        <v>53</v>
      </c>
    </row>
    <row r="17" spans="1:1" ht="56.25" x14ac:dyDescent="0.25">
      <c r="A17" s="6" t="s">
        <v>54</v>
      </c>
    </row>
  </sheetData>
  <mergeCells count="10">
    <mergeCell ref="A9:P9"/>
    <mergeCell ref="A1:D1"/>
    <mergeCell ref="A5:P5"/>
    <mergeCell ref="K2:M2"/>
    <mergeCell ref="E1:J1"/>
    <mergeCell ref="B2:D2"/>
    <mergeCell ref="K1:P1"/>
    <mergeCell ref="N2:O2"/>
    <mergeCell ref="E2:G2"/>
    <mergeCell ref="H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3"/>
  <sheetViews>
    <sheetView workbookViewId="0">
      <pane ySplit="4" topLeftCell="A5" activePane="bottomLeft" state="frozen"/>
      <selection pane="bottomLeft" activeCell="F5" sqref="F5"/>
    </sheetView>
  </sheetViews>
  <sheetFormatPr defaultRowHeight="15" x14ac:dyDescent="0.25"/>
  <cols>
    <col min="1" max="1" width="14" customWidth="1"/>
    <col min="2" max="2" width="10" customWidth="1"/>
    <col min="3" max="4" width="13" customWidth="1"/>
    <col min="5" max="5" width="6" customWidth="1"/>
    <col min="6" max="6" width="14" customWidth="1"/>
    <col min="7" max="7" width="12" customWidth="1"/>
    <col min="8" max="8" width="13" customWidth="1"/>
    <col min="9" max="9" width="14" customWidth="1"/>
    <col min="10" max="11" width="12" customWidth="1"/>
    <col min="12" max="12" width="14" customWidth="1"/>
    <col min="13" max="14" width="12" customWidth="1"/>
    <col min="15" max="15" width="14" customWidth="1"/>
    <col min="16" max="16" width="12" customWidth="1"/>
    <col min="17" max="17" width="13" customWidth="1"/>
    <col min="18" max="18" width="14" customWidth="1"/>
    <col min="19" max="20" width="12" customWidth="1"/>
    <col min="21" max="21" width="14" customWidth="1"/>
    <col min="22" max="23" width="12" customWidth="1"/>
    <col min="24" max="24" width="6" customWidth="1"/>
    <col min="25" max="25" width="14" customWidth="1"/>
    <col min="26" max="26" width="12" customWidth="1"/>
    <col min="27" max="27" width="13" customWidth="1"/>
    <col min="28" max="28" width="14" customWidth="1"/>
    <col min="29" max="30" width="12" customWidth="1"/>
    <col min="31" max="31" width="14" customWidth="1"/>
    <col min="32" max="33" width="12" customWidth="1"/>
    <col min="34" max="34" width="14" customWidth="1"/>
    <col min="35" max="35" width="12" customWidth="1"/>
    <col min="36" max="36" width="13" customWidth="1"/>
    <col min="37" max="37" width="14" customWidth="1"/>
    <col min="38" max="39" width="12" customWidth="1"/>
    <col min="40" max="40" width="14" customWidth="1"/>
    <col min="41" max="42" width="12" customWidth="1"/>
  </cols>
  <sheetData>
    <row r="1" spans="1:42" ht="26.1" customHeight="1" x14ac:dyDescent="0.25">
      <c r="A1" s="39" t="s">
        <v>20</v>
      </c>
      <c r="B1" s="40"/>
      <c r="C1" s="40"/>
      <c r="D1" s="41"/>
      <c r="E1" s="42" t="s">
        <v>55</v>
      </c>
      <c r="F1" s="40"/>
      <c r="G1" s="40"/>
      <c r="H1" s="40"/>
      <c r="I1" s="40"/>
      <c r="J1" s="40"/>
      <c r="K1" s="40"/>
      <c r="L1" s="40"/>
      <c r="M1" s="40"/>
      <c r="N1" s="41"/>
      <c r="O1" s="53" t="s">
        <v>56</v>
      </c>
      <c r="P1" s="54"/>
      <c r="Q1" s="54"/>
      <c r="R1" s="54"/>
      <c r="S1" s="54"/>
      <c r="T1" s="54"/>
      <c r="U1" s="54"/>
      <c r="V1" s="54"/>
      <c r="W1" s="55"/>
      <c r="X1" s="39" t="s">
        <v>57</v>
      </c>
      <c r="Y1" s="40"/>
      <c r="Z1" s="40"/>
      <c r="AA1" s="40"/>
      <c r="AB1" s="40"/>
      <c r="AC1" s="40"/>
      <c r="AD1" s="40"/>
      <c r="AE1" s="40"/>
      <c r="AF1" s="40"/>
      <c r="AG1" s="41"/>
      <c r="AH1" s="50" t="s">
        <v>58</v>
      </c>
      <c r="AI1" s="51"/>
      <c r="AJ1" s="51"/>
      <c r="AK1" s="51"/>
      <c r="AL1" s="51"/>
      <c r="AM1" s="51"/>
      <c r="AN1" s="51"/>
      <c r="AO1" s="51"/>
      <c r="AP1" s="52"/>
    </row>
    <row r="2" spans="1:42" ht="21.95" customHeight="1" x14ac:dyDescent="0.25">
      <c r="A2" s="39" t="s">
        <v>59</v>
      </c>
      <c r="B2" s="40"/>
      <c r="C2" s="40"/>
      <c r="D2" s="41"/>
      <c r="E2" s="7" t="s">
        <v>60</v>
      </c>
      <c r="F2" s="44" t="s">
        <v>61</v>
      </c>
      <c r="G2" s="45"/>
      <c r="H2" s="46"/>
      <c r="I2" s="43" t="s">
        <v>62</v>
      </c>
      <c r="J2" s="40"/>
      <c r="K2" s="41"/>
      <c r="L2" s="47" t="s">
        <v>63</v>
      </c>
      <c r="M2" s="48"/>
      <c r="N2" s="49"/>
      <c r="O2" s="44" t="s">
        <v>64</v>
      </c>
      <c r="P2" s="45"/>
      <c r="Q2" s="46"/>
      <c r="R2" s="43" t="s">
        <v>65</v>
      </c>
      <c r="S2" s="40"/>
      <c r="T2" s="41"/>
      <c r="U2" s="47" t="s">
        <v>66</v>
      </c>
      <c r="V2" s="48"/>
      <c r="W2" s="49"/>
      <c r="X2" s="1" t="s">
        <v>60</v>
      </c>
      <c r="Y2" s="44" t="s">
        <v>61</v>
      </c>
      <c r="Z2" s="45"/>
      <c r="AA2" s="46"/>
      <c r="AB2" s="43" t="s">
        <v>62</v>
      </c>
      <c r="AC2" s="40"/>
      <c r="AD2" s="41"/>
      <c r="AE2" s="47" t="s">
        <v>63</v>
      </c>
      <c r="AF2" s="48"/>
      <c r="AG2" s="49"/>
      <c r="AH2" s="44" t="s">
        <v>64</v>
      </c>
      <c r="AI2" s="45"/>
      <c r="AJ2" s="46"/>
      <c r="AK2" s="43" t="s">
        <v>65</v>
      </c>
      <c r="AL2" s="40"/>
      <c r="AM2" s="41"/>
      <c r="AN2" s="47" t="s">
        <v>66</v>
      </c>
      <c r="AO2" s="48"/>
      <c r="AP2" s="49"/>
    </row>
    <row r="3" spans="1:42" ht="30" customHeight="1" x14ac:dyDescent="0.25">
      <c r="A3" s="3" t="s">
        <v>24</v>
      </c>
      <c r="B3" s="3" t="s">
        <v>67</v>
      </c>
      <c r="C3" s="3" t="s">
        <v>68</v>
      </c>
      <c r="D3" s="3" t="s">
        <v>69</v>
      </c>
      <c r="E3" s="3" t="s">
        <v>25</v>
      </c>
      <c r="F3" s="3" t="s">
        <v>70</v>
      </c>
      <c r="G3" s="3" t="s">
        <v>71</v>
      </c>
      <c r="H3" s="3" t="s">
        <v>72</v>
      </c>
      <c r="I3" s="3" t="s">
        <v>73</v>
      </c>
      <c r="J3" s="3" t="s">
        <v>74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 t="s">
        <v>83</v>
      </c>
      <c r="T3" s="3" t="s">
        <v>84</v>
      </c>
      <c r="U3" s="3" t="s">
        <v>85</v>
      </c>
      <c r="V3" s="3" t="s">
        <v>86</v>
      </c>
      <c r="W3" s="3" t="s">
        <v>87</v>
      </c>
      <c r="X3" s="3" t="s">
        <v>31</v>
      </c>
      <c r="Y3" s="3" t="s">
        <v>88</v>
      </c>
      <c r="Z3" s="3" t="s">
        <v>89</v>
      </c>
      <c r="AA3" s="3" t="s">
        <v>90</v>
      </c>
      <c r="AB3" s="3" t="s">
        <v>91</v>
      </c>
      <c r="AC3" s="3" t="s">
        <v>92</v>
      </c>
      <c r="AD3" s="3" t="s">
        <v>93</v>
      </c>
      <c r="AE3" s="3" t="s">
        <v>94</v>
      </c>
      <c r="AF3" s="3" t="s">
        <v>95</v>
      </c>
      <c r="AG3" s="3" t="s">
        <v>96</v>
      </c>
      <c r="AH3" s="3" t="s">
        <v>97</v>
      </c>
      <c r="AI3" s="3" t="s">
        <v>98</v>
      </c>
      <c r="AJ3" s="3" t="s">
        <v>99</v>
      </c>
      <c r="AK3" s="3" t="s">
        <v>100</v>
      </c>
      <c r="AL3" s="3" t="s">
        <v>101</v>
      </c>
      <c r="AM3" s="3" t="s">
        <v>102</v>
      </c>
      <c r="AN3" s="3" t="s">
        <v>103</v>
      </c>
      <c r="AO3" s="3" t="s">
        <v>104</v>
      </c>
      <c r="AP3" s="3" t="s">
        <v>105</v>
      </c>
    </row>
    <row r="4" spans="1:42" ht="33.950000000000003" customHeight="1" x14ac:dyDescent="0.25">
      <c r="A4" s="9" t="s">
        <v>37</v>
      </c>
      <c r="B4" s="9" t="s">
        <v>7</v>
      </c>
      <c r="C4" s="9" t="s">
        <v>106</v>
      </c>
      <c r="D4" s="9" t="s">
        <v>107</v>
      </c>
      <c r="E4" s="9" t="s">
        <v>108</v>
      </c>
      <c r="F4" s="9" t="s">
        <v>109</v>
      </c>
      <c r="G4" s="9" t="s">
        <v>110</v>
      </c>
      <c r="H4" s="9" t="s">
        <v>111</v>
      </c>
      <c r="I4" s="9" t="s">
        <v>112</v>
      </c>
      <c r="J4" s="9" t="s">
        <v>113</v>
      </c>
      <c r="K4" s="9" t="s">
        <v>114</v>
      </c>
      <c r="L4" s="9" t="s">
        <v>115</v>
      </c>
      <c r="M4" s="9" t="s">
        <v>116</v>
      </c>
      <c r="N4" s="9" t="s">
        <v>114</v>
      </c>
      <c r="O4" s="9" t="s">
        <v>117</v>
      </c>
      <c r="P4" s="9" t="s">
        <v>64</v>
      </c>
      <c r="Q4" s="9" t="s">
        <v>111</v>
      </c>
      <c r="R4" s="9" t="s">
        <v>118</v>
      </c>
      <c r="S4" s="9" t="s">
        <v>65</v>
      </c>
      <c r="T4" s="9" t="s">
        <v>119</v>
      </c>
      <c r="U4" s="9" t="s">
        <v>120</v>
      </c>
      <c r="V4" s="9" t="s">
        <v>66</v>
      </c>
      <c r="W4" s="9" t="s">
        <v>119</v>
      </c>
      <c r="X4" s="9" t="s">
        <v>108</v>
      </c>
      <c r="Y4" s="9" t="s">
        <v>109</v>
      </c>
      <c r="Z4" s="9" t="s">
        <v>110</v>
      </c>
      <c r="AA4" s="9" t="s">
        <v>111</v>
      </c>
      <c r="AB4" s="9" t="s">
        <v>112</v>
      </c>
      <c r="AC4" s="9" t="s">
        <v>113</v>
      </c>
      <c r="AD4" s="9" t="s">
        <v>114</v>
      </c>
      <c r="AE4" s="9" t="s">
        <v>115</v>
      </c>
      <c r="AF4" s="9" t="s">
        <v>116</v>
      </c>
      <c r="AG4" s="9" t="s">
        <v>114</v>
      </c>
      <c r="AH4" s="9" t="s">
        <v>117</v>
      </c>
      <c r="AI4" s="9" t="s">
        <v>64</v>
      </c>
      <c r="AJ4" s="9" t="s">
        <v>111</v>
      </c>
      <c r="AK4" s="9" t="s">
        <v>118</v>
      </c>
      <c r="AL4" s="9" t="s">
        <v>65</v>
      </c>
      <c r="AM4" s="9" t="s">
        <v>119</v>
      </c>
      <c r="AN4" s="9" t="s">
        <v>120</v>
      </c>
      <c r="AO4" s="9" t="s">
        <v>66</v>
      </c>
      <c r="AP4" s="9" t="s">
        <v>119</v>
      </c>
    </row>
    <row r="5" spans="1:42" ht="17.100000000000001" customHeight="1" x14ac:dyDescent="0.25">
      <c r="A5" s="21" t="s">
        <v>121</v>
      </c>
      <c r="B5" s="11">
        <f>Проект!$D$3</f>
        <v>9.8059999999999992</v>
      </c>
      <c r="C5" s="21">
        <v>10</v>
      </c>
      <c r="D5" s="21">
        <v>12</v>
      </c>
      <c r="E5" s="5">
        <f ca="1">SUMPRODUCT((INDIRECT("Плеть!A"&amp;$C5&amp;":A"&amp;$D5)=$A5)*INDIRECT("Плеть!e"&amp;$C5&amp;":e"&amp;$D5))</f>
        <v>1</v>
      </c>
      <c r="F5" s="12">
        <f ca="1">IF(COUNTIFS(INDIRECT("Плеть!f"&amp;$C5&amp;":f"&amp;$D5),"fixed",INDIRECT("Плеть!A"&amp;$C5&amp;":A"&amp;$D5),$A5)&gt;0,SUMIF(INDIRECT("Плеть!A"&amp;$C5&amp;":A"&amp;$D5),"&lt;&gt;",INDIRECT("Плеть!h"&amp;$C5&amp;":h"&amp;$D5)),SUMPRODUCT((INDIRECT("Плеть!A"&amp;$C5&amp;":A"&amp;$D5)=$A5)*INDIRECT("Плеть!h"&amp;$C5&amp;":h"&amp;$D5)*INDIRECT("Плеть!j"&amp;$C5&amp;":j"&amp;$D5)))</f>
        <v>2690</v>
      </c>
      <c r="G5" s="17">
        <f ca="1">F5/B5</f>
        <v>274.32184376912096</v>
      </c>
      <c r="H5" s="12">
        <f ca="1">SUMPRODUCT((INDIRECT("Плеть!A"&amp;$C5&amp;":A"&amp;$D5)=$A5)*INDIRECT("Плеть!b"&amp;$C5&amp;":b"&amp;$D5))</f>
        <v>12.18</v>
      </c>
      <c r="I5" s="12">
        <f ca="1">SUMPRODUCT((INDIRECT("Плеть!A"&amp;$C5&amp;":A"&amp;$D5)=$A5)*INDIRECT("Плеть!h"&amp;$C5&amp;":h"&amp;$D5))</f>
        <v>820</v>
      </c>
      <c r="J5" s="17">
        <f ca="1">I5/B5</f>
        <v>83.622272078319398</v>
      </c>
      <c r="K5" s="12">
        <f ca="1">SUMPRODUCT((INDIRECT("Плеть!A"&amp;$C5&amp;":A"&amp;$D5)=$A5)*INDIRECT("Плеть!c"&amp;$C5&amp;":c"&amp;$D5))</f>
        <v>14.23</v>
      </c>
      <c r="L5" s="12">
        <f ca="1">SUMPRODUCT((INDIRECT("Плеть!A"&amp;$C5&amp;":A"&amp;$D5)=$A5)*INDIRECT("Плеть!h"&amp;$C5&amp;":h"&amp;$D5))</f>
        <v>820</v>
      </c>
      <c r="M5" s="17">
        <f ca="1">L5/B5</f>
        <v>83.622272078319398</v>
      </c>
      <c r="N5" s="12">
        <f ca="1">SUMPRODUCT((INDIRECT("Плеть!A"&amp;$C5&amp;":A"&amp;$D5)=$A5)*INDIRECT("Плеть!c"&amp;$C5&amp;":c"&amp;$D5))</f>
        <v>14.23</v>
      </c>
      <c r="O5" s="12">
        <f ca="1">IF(COUNTIFS(INDIRECT("Плеть!f"&amp;$C5&amp;":f"&amp;$D5),"fixed",INDIRECT("Плеть!A"&amp;$C5&amp;":A"&amp;$D5),$A5)&gt;0,SUMIF(INDIRECT("Плеть!A"&amp;$C5&amp;":A"&amp;$D5),"&lt;&gt;",INDIRECT("Плеть!i"&amp;$C5&amp;":i"&amp;$D5)),SUMPRODUCT((INDIRECT("Плеть!A"&amp;$C5&amp;":A"&amp;$D5)=$A5)*INDIRECT("Плеть!i"&amp;$C5&amp;":i"&amp;$D5)*INDIRECT("Плеть!j"&amp;$C5&amp;":j"&amp;$D5)))</f>
        <v>400</v>
      </c>
      <c r="P5" s="17">
        <f ca="1">O5/B5</f>
        <v>40.791352233326535</v>
      </c>
      <c r="Q5" s="12">
        <f ca="1">SUMPRODUCT((INDIRECT("Плеть!A"&amp;$C5&amp;":A"&amp;$D5)=$A5)*INDIRECT("Плеть!b"&amp;$C5&amp;":b"&amp;$D5))</f>
        <v>12.18</v>
      </c>
      <c r="R5" s="12">
        <f ca="1">SUMPRODUCT((INDIRECT("Плеть!A"&amp;$C5&amp;":A"&amp;$D5)=$A5)*INDIRECT("Плеть!i"&amp;$C5&amp;":i"&amp;$D5))</f>
        <v>110</v>
      </c>
      <c r="S5" s="17">
        <f ca="1">R5/B5</f>
        <v>11.217621864164798</v>
      </c>
      <c r="T5" s="12">
        <f ca="1">SUMPRODUCT((INDIRECT("Плеть!A"&amp;$C5&amp;":A"&amp;$D5)=$A5)*INDIRECT("Плеть!d"&amp;$C5&amp;":d"&amp;$D5))</f>
        <v>15.5</v>
      </c>
      <c r="U5" s="12">
        <f ca="1">SUMPRODUCT((INDIRECT("Плеть!A"&amp;$C5&amp;":A"&amp;$D5)=$A5)*INDIRECT("Плеть!i"&amp;$C5&amp;":i"&amp;$D5))</f>
        <v>110</v>
      </c>
      <c r="V5" s="17">
        <f ca="1">U5/B5</f>
        <v>11.217621864164798</v>
      </c>
      <c r="W5" s="12">
        <f ca="1">SUMPRODUCT((INDIRECT("Плеть!A"&amp;$C5&amp;":A"&amp;$D5)=$A5)*INDIRECT("Плеть!d"&amp;$C5&amp;":d"&amp;$D5))</f>
        <v>15.5</v>
      </c>
      <c r="X5" s="5">
        <f ca="1">SUMPRODUCT((INDIRECT("Плеть!A"&amp;$C5&amp;":A"&amp;$D5)=$A5)*INDIRECT("Плеть!k"&amp;$C5&amp;":k"&amp;$D5))</f>
        <v>2</v>
      </c>
      <c r="Y5" s="12">
        <f ca="1">IF(COUNTIFS(INDIRECT("Плеть!l"&amp;$C5&amp;":l"&amp;$D5),"fixed",INDIRECT("Плеть!A"&amp;$C5&amp;":A"&amp;$D5),$A5)&gt;0,SUMIF(INDIRECT("Плеть!A"&amp;$C5&amp;":A"&amp;$D5),"&lt;&gt;",INDIRECT("Плеть!n"&amp;$C5&amp;":n"&amp;$D5)),SUMPRODUCT((INDIRECT("Плеть!A"&amp;$C5&amp;":A"&amp;$D5)=$A5)*INDIRECT("Плеть!n"&amp;$C5&amp;":n"&amp;$D5)*INDIRECT("Плеть!p"&amp;$C5&amp;":p"&amp;$D5)))</f>
        <v>2397</v>
      </c>
      <c r="Z5" s="17">
        <f ca="1">Y5/B5</f>
        <v>244.44217825820928</v>
      </c>
      <c r="AA5" s="12">
        <f ca="1">H5</f>
        <v>12.18</v>
      </c>
      <c r="AB5" s="12">
        <f ca="1">SUMPRODUCT((INDIRECT("Плеть!A"&amp;$C5&amp;":A"&amp;$D5)=$A5)*INDIRECT("Плеть!n"&amp;$C5&amp;":n"&amp;$D5))</f>
        <v>647</v>
      </c>
      <c r="AC5" s="17">
        <f ca="1">AB5/B5</f>
        <v>65.980012237405674</v>
      </c>
      <c r="AD5" s="12">
        <f ca="1">K5</f>
        <v>14.23</v>
      </c>
      <c r="AE5" s="12">
        <f ca="1">SUMPRODUCT((INDIRECT("Плеть!A"&amp;$C5&amp;":A"&amp;$D5)=$A5)*INDIRECT("Плеть!n"&amp;$C5&amp;":n"&amp;$D5))</f>
        <v>647</v>
      </c>
      <c r="AF5" s="17">
        <f ca="1">AE5/B5</f>
        <v>65.980012237405674</v>
      </c>
      <c r="AG5" s="12">
        <f ca="1">N5</f>
        <v>14.23</v>
      </c>
      <c r="AH5" s="12">
        <f ca="1">IF(COUNTIFS(INDIRECT("Плеть!l"&amp;$C5&amp;":l"&amp;$D5),"fixed",INDIRECT("Плеть!A"&amp;$C5&amp;":A"&amp;$D5),$A5)&gt;0,SUMIF(INDIRECT("Плеть!A"&amp;$C5&amp;":A"&amp;$D5),"&lt;&gt;",INDIRECT("Плеть!o"&amp;$C5&amp;":o"&amp;$D5)),SUMPRODUCT((INDIRECT("Плеть!A"&amp;$C5&amp;":A"&amp;$D5)=$A5)*INDIRECT("Плеть!o"&amp;$C5&amp;":o"&amp;$D5)*INDIRECT("Плеть!p"&amp;$C5&amp;":p"&amp;$D5)))</f>
        <v>345</v>
      </c>
      <c r="AI5" s="17">
        <f ca="1">AH5/B5</f>
        <v>35.182541301244136</v>
      </c>
      <c r="AJ5" s="12">
        <f ca="1">Q5</f>
        <v>12.18</v>
      </c>
      <c r="AK5" s="12">
        <f ca="1">SUMPRODUCT((INDIRECT("Плеть!A"&amp;$C5&amp;":A"&amp;$D5)=$A5)*INDIRECT("Плеть!o"&amp;$C5&amp;":o"&amp;$D5))</f>
        <v>95</v>
      </c>
      <c r="AL5" s="17">
        <f ca="1">AK5/B5</f>
        <v>9.6879461554150534</v>
      </c>
      <c r="AM5" s="12">
        <f ca="1">T5</f>
        <v>15.5</v>
      </c>
      <c r="AN5" s="12">
        <f ca="1">SUMPRODUCT((INDIRECT("Плеть!A"&amp;$C5&amp;":A"&amp;$D5)=$A5)*INDIRECT("Плеть!o"&amp;$C5&amp;":o"&amp;$D5))</f>
        <v>95</v>
      </c>
      <c r="AO5" s="17">
        <f ca="1">AN5/B5</f>
        <v>9.6879461554150534</v>
      </c>
      <c r="AP5" s="12">
        <f ca="1">W5</f>
        <v>15.5</v>
      </c>
    </row>
    <row r="6" spans="1:42" x14ac:dyDescent="0.25">
      <c r="A6" s="21" t="s">
        <v>51</v>
      </c>
      <c r="B6" s="11">
        <f>Проект!$D$3</f>
        <v>9.8059999999999992</v>
      </c>
      <c r="C6" s="21">
        <v>6</v>
      </c>
      <c r="D6" s="21">
        <v>8</v>
      </c>
      <c r="E6" s="5">
        <f ca="1">SUMPRODUCT((INDIRECT("Плеть!A"&amp;$C6&amp;":A"&amp;$D6)=$A6)*INDIRECT("Плеть!e"&amp;$C6&amp;":e"&amp;$D6))</f>
        <v>1</v>
      </c>
      <c r="F6" s="12">
        <f ca="1">IF(COUNTIFS(INDIRECT("Плеть!f"&amp;$C6&amp;":f"&amp;$D6),"fixed",INDIRECT("Плеть!A"&amp;$C6&amp;":A"&amp;$D6),$A6)&gt;0,SUMIF(INDIRECT("Плеть!A"&amp;$C6&amp;":A"&amp;$D6),"&lt;&gt;",INDIRECT("Плеть!h"&amp;$C6&amp;":h"&amp;$D6)),SUMPRODUCT((INDIRECT("Плеть!A"&amp;$C6&amp;":A"&amp;$D6)=$A6)*INDIRECT("Плеть!h"&amp;$C6&amp;":h"&amp;$D6)*INDIRECT("Плеть!j"&amp;$C6&amp;":j"&amp;$D6)))</f>
        <v>76</v>
      </c>
      <c r="G6" s="17">
        <f ca="1">F6/B6</f>
        <v>7.750356924332042</v>
      </c>
      <c r="H6" s="12">
        <f ca="1">SUMPRODUCT((INDIRECT("Плеть!A"&amp;$C6&amp;":A"&amp;$D6)=$A6)*INDIRECT("Плеть!b"&amp;$C6&amp;":b"&amp;$D6))</f>
        <v>49.19</v>
      </c>
      <c r="I6" s="12">
        <f ca="1">SUMPRODUCT((INDIRECT("Плеть!A"&amp;$C6&amp;":A"&amp;$D6)=$A6)*INDIRECT("Плеть!h"&amp;$C6&amp;":h"&amp;$D6))</f>
        <v>950</v>
      </c>
      <c r="J6" s="17">
        <f ca="1">I6/B6</f>
        <v>96.879461554150524</v>
      </c>
      <c r="K6" s="12">
        <f ca="1">SUMPRODUCT((INDIRECT("Плеть!A"&amp;$C6&amp;":A"&amp;$D6)=$A6)*INDIRECT("Плеть!c"&amp;$C6&amp;":c"&amp;$D6))</f>
        <v>51.45</v>
      </c>
      <c r="L6" s="12">
        <f ca="1">SUMPRODUCT((INDIRECT("Плеть!A"&amp;$C6&amp;":A"&amp;$D6)=$A6)*INDIRECT("Плеть!h"&amp;$C6&amp;":h"&amp;$D6))</f>
        <v>950</v>
      </c>
      <c r="M6" s="17">
        <f ca="1">L6/B6</f>
        <v>96.879461554150524</v>
      </c>
      <c r="N6" s="12">
        <f ca="1">SUMPRODUCT((INDIRECT("Плеть!A"&amp;$C6&amp;":A"&amp;$D6)=$A6)*INDIRECT("Плеть!c"&amp;$C6&amp;":c"&amp;$D6))</f>
        <v>51.45</v>
      </c>
      <c r="O6" s="12">
        <f ca="1">IF(COUNTIFS(INDIRECT("Плеть!f"&amp;$C6&amp;":f"&amp;$D6),"fixed",INDIRECT("Плеть!A"&amp;$C6&amp;":A"&amp;$D6),$A6)&gt;0,SUMIF(INDIRECT("Плеть!A"&amp;$C6&amp;":A"&amp;$D6),"&lt;&gt;",INDIRECT("Плеть!i"&amp;$C6&amp;":i"&amp;$D6)),SUMPRODUCT((INDIRECT("Плеть!A"&amp;$C6&amp;":A"&amp;$D6)=$A6)*INDIRECT("Плеть!i"&amp;$C6&amp;":i"&amp;$D6)*INDIRECT("Плеть!j"&amp;$C6&amp;":j"&amp;$D6)))</f>
        <v>11.200000000000001</v>
      </c>
      <c r="P6" s="17">
        <f ca="1">O6/B6</f>
        <v>1.1421578625331432</v>
      </c>
      <c r="Q6" s="12">
        <f ca="1">SUMPRODUCT((INDIRECT("Плеть!A"&amp;$C6&amp;":A"&amp;$D6)=$A6)*INDIRECT("Плеть!b"&amp;$C6&amp;":b"&amp;$D6))</f>
        <v>49.19</v>
      </c>
      <c r="R6" s="12">
        <f ca="1">SUMPRODUCT((INDIRECT("Плеть!A"&amp;$C6&amp;":A"&amp;$D6)=$A6)*INDIRECT("Плеть!i"&amp;$C6&amp;":i"&amp;$D6))</f>
        <v>140</v>
      </c>
      <c r="S6" s="17">
        <f ca="1">R6/B6</f>
        <v>14.276973281664288</v>
      </c>
      <c r="T6" s="12">
        <f ca="1">SUMPRODUCT((INDIRECT("Плеть!A"&amp;$C6&amp;":A"&amp;$D6)=$A6)*INDIRECT("Плеть!d"&amp;$C6&amp;":d"&amp;$D6))</f>
        <v>53.45</v>
      </c>
      <c r="U6" s="12">
        <f ca="1">SUMPRODUCT((INDIRECT("Плеть!A"&amp;$C6&amp;":A"&amp;$D6)=$A6)*INDIRECT("Плеть!i"&amp;$C6&amp;":i"&amp;$D6))</f>
        <v>140</v>
      </c>
      <c r="V6" s="17">
        <f ca="1">U6/B6</f>
        <v>14.276973281664288</v>
      </c>
      <c r="W6" s="12">
        <f ca="1">SUMPRODUCT((INDIRECT("Плеть!A"&amp;$C6&amp;":A"&amp;$D6)=$A6)*INDIRECT("Плеть!d"&amp;$C6&amp;":d"&amp;$D6))</f>
        <v>53.45</v>
      </c>
      <c r="X6" s="5">
        <f ca="1">SUMPRODUCT((INDIRECT("Плеть!A"&amp;$C6&amp;":A"&amp;$D6)=$A6)*INDIRECT("Плеть!k"&amp;$C6&amp;":k"&amp;$D6))</f>
        <v>2</v>
      </c>
      <c r="Y6" s="12">
        <f ca="1">IF(COUNTIFS(INDIRECT("Плеть!l"&amp;$C6&amp;":l"&amp;$D6),"fixed",INDIRECT("Плеть!A"&amp;$C6&amp;":A"&amp;$D6),$A6)&gt;0,SUMIF(INDIRECT("Плеть!A"&amp;$C6&amp;":A"&amp;$D6),"&lt;&gt;",INDIRECT("Плеть!n"&amp;$C6&amp;":n"&amp;$D6)),SUMPRODUCT((INDIRECT("Плеть!A"&amp;$C6&amp;":A"&amp;$D6)=$A6)*INDIRECT("Плеть!n"&amp;$C6&amp;":n"&amp;$D6)*INDIRECT("Плеть!p"&amp;$C6&amp;":p"&amp;$D6)))</f>
        <v>2387</v>
      </c>
      <c r="Z6" s="17">
        <f ca="1">Y6/B6</f>
        <v>243.42239445237612</v>
      </c>
      <c r="AA6" s="12">
        <f ca="1">H6</f>
        <v>49.19</v>
      </c>
      <c r="AB6" s="12">
        <f ca="1">SUMPRODUCT((INDIRECT("Плеть!A"&amp;$C6&amp;":A"&amp;$D6)=$A6)*INDIRECT("Плеть!n"&amp;$C6&amp;":n"&amp;$D6))</f>
        <v>870</v>
      </c>
      <c r="AC6" s="17">
        <f ca="1">AB6/B6</f>
        <v>88.721191107485225</v>
      </c>
      <c r="AD6" s="12">
        <f ca="1">K6</f>
        <v>51.45</v>
      </c>
      <c r="AE6" s="12">
        <f ca="1">SUMPRODUCT((INDIRECT("Плеть!A"&amp;$C6&amp;":A"&amp;$D6)=$A6)*INDIRECT("Плеть!n"&amp;$C6&amp;":n"&amp;$D6))</f>
        <v>870</v>
      </c>
      <c r="AF6" s="17">
        <f ca="1">AE6/B6</f>
        <v>88.721191107485225</v>
      </c>
      <c r="AG6" s="12">
        <f ca="1">N6</f>
        <v>51.45</v>
      </c>
      <c r="AH6" s="12">
        <f ca="1">IF(COUNTIFS(INDIRECT("Плеть!l"&amp;$C6&amp;":l"&amp;$D6),"fixed",INDIRECT("Плеть!A"&amp;$C6&amp;":A"&amp;$D6),$A6)&gt;0,SUMIF(INDIRECT("Плеть!A"&amp;$C6&amp;":A"&amp;$D6),"&lt;&gt;",INDIRECT("Плеть!o"&amp;$C6&amp;":o"&amp;$D6)),SUMPRODUCT((INDIRECT("Плеть!A"&amp;$C6&amp;":A"&amp;$D6)=$A6)*INDIRECT("Плеть!o"&amp;$C6&amp;":o"&amp;$D6)*INDIRECT("Плеть!p"&amp;$C6&amp;":p"&amp;$D6)))</f>
        <v>355</v>
      </c>
      <c r="AI6" s="17">
        <f ca="1">AH6/B6</f>
        <v>36.2023251070773</v>
      </c>
      <c r="AJ6" s="12">
        <f ca="1">Q6</f>
        <v>49.19</v>
      </c>
      <c r="AK6" s="12">
        <f ca="1">SUMPRODUCT((INDIRECT("Плеть!A"&amp;$C6&amp;":A"&amp;$D6)=$A6)*INDIRECT("Плеть!o"&amp;$C6&amp;":o"&amp;$D6))</f>
        <v>130</v>
      </c>
      <c r="AL6" s="17">
        <f ca="1">AK6/B6</f>
        <v>13.257189475831124</v>
      </c>
      <c r="AM6" s="12">
        <f ca="1">T6</f>
        <v>53.45</v>
      </c>
      <c r="AN6" s="12">
        <f ca="1">SUMPRODUCT((INDIRECT("Плеть!A"&amp;$C6&amp;":A"&amp;$D6)=$A6)*INDIRECT("Плеть!o"&amp;$C6&amp;":o"&amp;$D6))</f>
        <v>130</v>
      </c>
      <c r="AO6" s="17">
        <f ca="1">AN6/B6</f>
        <v>13.257189475831124</v>
      </c>
      <c r="AP6" s="12">
        <f ca="1">W6</f>
        <v>53.45</v>
      </c>
    </row>
    <row r="7" spans="1:42" x14ac:dyDescent="0.25">
      <c r="A7" s="21" t="s">
        <v>51</v>
      </c>
      <c r="B7" s="11">
        <f>Проект!$D$3</f>
        <v>9.8059999999999992</v>
      </c>
      <c r="C7" s="21">
        <v>10</v>
      </c>
      <c r="D7" s="21">
        <v>12</v>
      </c>
      <c r="E7" s="5">
        <f ca="1">SUMPRODUCT((INDIRECT("Плеть!A"&amp;$C7&amp;":A"&amp;$D7)=$A7)*INDIRECT("Плеть!e"&amp;$C7&amp;":e"&amp;$D7))</f>
        <v>3</v>
      </c>
      <c r="F7" s="12">
        <f ca="1">IF(COUNTIFS(INDIRECT("Плеть!f"&amp;$C7&amp;":f"&amp;$D7),"fixed",INDIRECT("Плеть!A"&amp;$C7&amp;":A"&amp;$D7),$A7)&gt;0,SUMIF(INDIRECT("Плеть!A"&amp;$C7&amp;":A"&amp;$D7),"&lt;&gt;",INDIRECT("Плеть!h"&amp;$C7&amp;":h"&amp;$D7)),SUMPRODUCT((INDIRECT("Плеть!A"&amp;$C7&amp;":A"&amp;$D7)=$A7)*INDIRECT("Плеть!h"&amp;$C7&amp;":h"&amp;$D7)*INDIRECT("Плеть!j"&amp;$C7&amp;":j"&amp;$D7)))</f>
        <v>73.600000000000009</v>
      </c>
      <c r="G7" s="17">
        <f ca="1">F7/B7</f>
        <v>7.5056088109320838</v>
      </c>
      <c r="H7" s="12">
        <f ca="1">SUMPRODUCT((INDIRECT("Плеть!A"&amp;$C7&amp;":A"&amp;$D7)=$A7)*INDIRECT("Плеть!b"&amp;$C7&amp;":b"&amp;$D7))</f>
        <v>12.18</v>
      </c>
      <c r="I7" s="12">
        <f ca="1">SUMPRODUCT((INDIRECT("Плеть!A"&amp;$C7&amp;":A"&amp;$D7)=$A7)*INDIRECT("Плеть!h"&amp;$C7&amp;":h"&amp;$D7))</f>
        <v>920</v>
      </c>
      <c r="J7" s="17">
        <f ca="1">I7/B7</f>
        <v>93.820110136651039</v>
      </c>
      <c r="K7" s="12">
        <f ca="1">SUMPRODUCT((INDIRECT("Плеть!A"&amp;$C7&amp;":A"&amp;$D7)=$A7)*INDIRECT("Плеть!c"&amp;$C7&amp;":c"&amp;$D7))</f>
        <v>14.23</v>
      </c>
      <c r="L7" s="12">
        <f ca="1">SUMPRODUCT((INDIRECT("Плеть!A"&amp;$C7&amp;":A"&amp;$D7)=$A7)*INDIRECT("Плеть!h"&amp;$C7&amp;":h"&amp;$D7))</f>
        <v>920</v>
      </c>
      <c r="M7" s="17">
        <f ca="1">L7/B7</f>
        <v>93.820110136651039</v>
      </c>
      <c r="N7" s="12">
        <f ca="1">SUMPRODUCT((INDIRECT("Плеть!A"&amp;$C7&amp;":A"&amp;$D7)=$A7)*INDIRECT("Плеть!c"&amp;$C7&amp;":c"&amp;$D7))</f>
        <v>14.23</v>
      </c>
      <c r="O7" s="12">
        <f ca="1">IF(COUNTIFS(INDIRECT("Плеть!f"&amp;$C7&amp;":f"&amp;$D7),"fixed",INDIRECT("Плеть!A"&amp;$C7&amp;":A"&amp;$D7),$A7)&gt;0,SUMIF(INDIRECT("Плеть!A"&amp;$C7&amp;":A"&amp;$D7),"&lt;&gt;",INDIRECT("Плеть!i"&amp;$C7&amp;":i"&amp;$D7)),SUMPRODUCT((INDIRECT("Плеть!A"&amp;$C7&amp;":A"&amp;$D7)=$A7)*INDIRECT("Плеть!i"&amp;$C7&amp;":i"&amp;$D7)*INDIRECT("Плеть!j"&amp;$C7&amp;":j"&amp;$D7)))</f>
        <v>12</v>
      </c>
      <c r="P7" s="17">
        <f ca="1">O7/B7</f>
        <v>1.2237405669997961</v>
      </c>
      <c r="Q7" s="12">
        <f ca="1">SUMPRODUCT((INDIRECT("Плеть!A"&amp;$C7&amp;":A"&amp;$D7)=$A7)*INDIRECT("Плеть!b"&amp;$C7&amp;":b"&amp;$D7))</f>
        <v>12.18</v>
      </c>
      <c r="R7" s="12">
        <f ca="1">SUMPRODUCT((INDIRECT("Плеть!A"&amp;$C7&amp;":A"&amp;$D7)=$A7)*INDIRECT("Плеть!i"&amp;$C7&amp;":i"&amp;$D7))</f>
        <v>150</v>
      </c>
      <c r="S7" s="17">
        <f ca="1">R7/B7</f>
        <v>15.296757087497452</v>
      </c>
      <c r="T7" s="12">
        <f ca="1">SUMPRODUCT((INDIRECT("Плеть!A"&amp;$C7&amp;":A"&amp;$D7)=$A7)*INDIRECT("Плеть!d"&amp;$C7&amp;":d"&amp;$D7))</f>
        <v>15.5</v>
      </c>
      <c r="U7" s="12">
        <f ca="1">SUMPRODUCT((INDIRECT("Плеть!A"&amp;$C7&amp;":A"&amp;$D7)=$A7)*INDIRECT("Плеть!i"&amp;$C7&amp;":i"&amp;$D7))</f>
        <v>150</v>
      </c>
      <c r="V7" s="17">
        <f ca="1">U7/B7</f>
        <v>15.296757087497452</v>
      </c>
      <c r="W7" s="12">
        <f ca="1">SUMPRODUCT((INDIRECT("Плеть!A"&amp;$C7&amp;":A"&amp;$D7)=$A7)*INDIRECT("Плеть!d"&amp;$C7&amp;":d"&amp;$D7))</f>
        <v>15.5</v>
      </c>
      <c r="X7" s="5">
        <f ca="1">SUMPRODUCT((INDIRECT("Плеть!A"&amp;$C7&amp;":A"&amp;$D7)=$A7)*INDIRECT("Плеть!k"&amp;$C7&amp;":k"&amp;$D7))</f>
        <v>4</v>
      </c>
      <c r="Y7" s="12">
        <f ca="1">IF(COUNTIFS(INDIRECT("Плеть!l"&amp;$C7&amp;":l"&amp;$D7),"fixed",INDIRECT("Плеть!A"&amp;$C7&amp;":A"&amp;$D7),$A7)&gt;0,SUMIF(INDIRECT("Плеть!A"&amp;$C7&amp;":A"&amp;$D7),"&lt;&gt;",INDIRECT("Плеть!n"&amp;$C7&amp;":n"&amp;$D7)),SUMPRODUCT((INDIRECT("Плеть!A"&amp;$C7&amp;":A"&amp;$D7)=$A7)*INDIRECT("Плеть!n"&amp;$C7&amp;":n"&amp;$D7)*INDIRECT("Плеть!p"&amp;$C7&amp;":p"&amp;$D7)))</f>
        <v>70.400000000000006</v>
      </c>
      <c r="Z7" s="17">
        <f ca="1">Y7/B7</f>
        <v>7.1792779930654715</v>
      </c>
      <c r="AA7" s="12">
        <f ca="1">H7</f>
        <v>12.18</v>
      </c>
      <c r="AB7" s="12">
        <f ca="1">SUMPRODUCT((INDIRECT("Плеть!A"&amp;$C7&amp;":A"&amp;$D7)=$A7)*INDIRECT("Плеть!n"&amp;$C7&amp;":n"&amp;$D7))</f>
        <v>880</v>
      </c>
      <c r="AC7" s="17">
        <f ca="1">AB7/B7</f>
        <v>89.740974913318382</v>
      </c>
      <c r="AD7" s="12">
        <f ca="1">K7</f>
        <v>14.23</v>
      </c>
      <c r="AE7" s="12">
        <f ca="1">SUMPRODUCT((INDIRECT("Плеть!A"&amp;$C7&amp;":A"&amp;$D7)=$A7)*INDIRECT("Плеть!n"&amp;$C7&amp;":n"&amp;$D7))</f>
        <v>880</v>
      </c>
      <c r="AF7" s="17">
        <f ca="1">AE7/B7</f>
        <v>89.740974913318382</v>
      </c>
      <c r="AG7" s="12">
        <f ca="1">N7</f>
        <v>14.23</v>
      </c>
      <c r="AH7" s="12">
        <f ca="1">IF(COUNTIFS(INDIRECT("Плеть!l"&amp;$C7&amp;":l"&amp;$D7),"fixed",INDIRECT("Плеть!A"&amp;$C7&amp;":A"&amp;$D7),$A7)&gt;0,SUMIF(INDIRECT("Плеть!A"&amp;$C7&amp;":A"&amp;$D7),"&lt;&gt;",INDIRECT("Плеть!o"&amp;$C7&amp;":o"&amp;$D7)),SUMPRODUCT((INDIRECT("Плеть!A"&amp;$C7&amp;":A"&amp;$D7)=$A7)*INDIRECT("Плеть!o"&amp;$C7&amp;":o"&amp;$D7)*INDIRECT("Плеть!p"&amp;$C7&amp;":p"&amp;$D7)))</f>
        <v>9.6</v>
      </c>
      <c r="AI7" s="17">
        <f ca="1">AH7/B7</f>
        <v>0.97899245359983689</v>
      </c>
      <c r="AJ7" s="12">
        <f ca="1">Q7</f>
        <v>12.18</v>
      </c>
      <c r="AK7" s="12">
        <f ca="1">SUMPRODUCT((INDIRECT("Плеть!A"&amp;$C7&amp;":A"&amp;$D7)=$A7)*INDIRECT("Плеть!o"&amp;$C7&amp;":o"&amp;$D7))</f>
        <v>120</v>
      </c>
      <c r="AL7" s="17">
        <f ca="1">AK7/B7</f>
        <v>12.237405669997962</v>
      </c>
      <c r="AM7" s="12">
        <f ca="1">T7</f>
        <v>15.5</v>
      </c>
      <c r="AN7" s="12">
        <f ca="1">SUMPRODUCT((INDIRECT("Плеть!A"&amp;$C7&amp;":A"&amp;$D7)=$A7)*INDIRECT("Плеть!o"&amp;$C7&amp;":o"&amp;$D7))</f>
        <v>120</v>
      </c>
      <c r="AO7" s="17">
        <f ca="1">AN7/B7</f>
        <v>12.237405669997962</v>
      </c>
      <c r="AP7" s="12">
        <f ca="1">W7</f>
        <v>15.5</v>
      </c>
    </row>
    <row r="8" spans="1:42" x14ac:dyDescent="0.25">
      <c r="A8" s="27"/>
      <c r="B8" s="29"/>
      <c r="C8" s="27"/>
      <c r="D8" s="27"/>
      <c r="E8" s="28"/>
      <c r="F8" s="30"/>
      <c r="G8" s="31"/>
      <c r="H8" s="30"/>
      <c r="I8" s="30"/>
      <c r="J8" s="31"/>
      <c r="K8" s="30"/>
      <c r="L8" s="30"/>
      <c r="M8" s="31"/>
      <c r="N8" s="30"/>
      <c r="O8" s="30"/>
      <c r="P8" s="31"/>
      <c r="Q8" s="30"/>
      <c r="R8" s="30"/>
      <c r="S8" s="31"/>
      <c r="T8" s="30"/>
      <c r="U8" s="30"/>
      <c r="V8" s="31"/>
      <c r="W8" s="30"/>
      <c r="X8" s="28"/>
      <c r="Y8" s="30"/>
      <c r="Z8" s="31"/>
      <c r="AA8" s="30"/>
      <c r="AB8" s="30"/>
      <c r="AC8" s="31"/>
      <c r="AD8" s="30"/>
      <c r="AE8" s="30"/>
      <c r="AF8" s="31"/>
      <c r="AG8" s="30"/>
      <c r="AH8" s="30"/>
      <c r="AI8" s="31"/>
      <c r="AJ8" s="30"/>
      <c r="AK8" s="30"/>
      <c r="AL8" s="31"/>
      <c r="AM8" s="30"/>
      <c r="AN8" s="30"/>
      <c r="AO8" s="31"/>
      <c r="AP8" s="30"/>
    </row>
    <row r="9" spans="1:42" ht="67.5" x14ac:dyDescent="0.25">
      <c r="A9" s="6" t="s">
        <v>122</v>
      </c>
    </row>
    <row r="10" spans="1:42" ht="67.5" x14ac:dyDescent="0.25">
      <c r="A10" s="6" t="s">
        <v>123</v>
      </c>
    </row>
    <row r="11" spans="1:42" ht="67.5" x14ac:dyDescent="0.25">
      <c r="A11" s="6" t="s">
        <v>124</v>
      </c>
    </row>
    <row r="12" spans="1:42" ht="78.75" x14ac:dyDescent="0.25">
      <c r="A12" s="6" t="s">
        <v>125</v>
      </c>
    </row>
    <row r="13" spans="1:42" ht="90" x14ac:dyDescent="0.25">
      <c r="A13" s="6" t="s">
        <v>126</v>
      </c>
    </row>
  </sheetData>
  <mergeCells count="18">
    <mergeCell ref="AE2:AG2"/>
    <mergeCell ref="AH1:AP1"/>
    <mergeCell ref="R2:T2"/>
    <mergeCell ref="AK2:AM2"/>
    <mergeCell ref="AN2:AP2"/>
    <mergeCell ref="O1:W1"/>
    <mergeCell ref="X1:AG1"/>
    <mergeCell ref="O2:Q2"/>
    <mergeCell ref="AH2:AJ2"/>
    <mergeCell ref="U2:W2"/>
    <mergeCell ref="A1:D1"/>
    <mergeCell ref="AB2:AD2"/>
    <mergeCell ref="I2:K2"/>
    <mergeCell ref="Y2:AA2"/>
    <mergeCell ref="F2:H2"/>
    <mergeCell ref="A2:D2"/>
    <mergeCell ref="L2:N2"/>
    <mergeCell ref="E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14"/>
  <sheetViews>
    <sheetView workbookViewId="0">
      <pane ySplit="3" topLeftCell="A4" activePane="bottomLeft" state="frozen"/>
      <selection pane="bottomLeft" activeCell="A6" sqref="A6"/>
    </sheetView>
  </sheetViews>
  <sheetFormatPr defaultRowHeight="15" x14ac:dyDescent="0.25"/>
  <cols>
    <col min="2" max="89" width="12" customWidth="1"/>
  </cols>
  <sheetData>
    <row r="1" spans="1:93" ht="27.95" customHeight="1" x14ac:dyDescent="0.25">
      <c r="A1" s="16" t="s">
        <v>425</v>
      </c>
      <c r="B1" s="42" t="s">
        <v>20</v>
      </c>
      <c r="C1" s="40"/>
      <c r="D1" s="40"/>
      <c r="E1" s="40"/>
      <c r="F1" s="40"/>
      <c r="G1" s="41"/>
      <c r="H1" s="61" t="s">
        <v>128</v>
      </c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43" t="s">
        <v>129</v>
      </c>
      <c r="U1" s="40"/>
      <c r="V1" s="40"/>
      <c r="W1" s="40"/>
      <c r="X1" s="40"/>
      <c r="Y1" s="40"/>
      <c r="Z1" s="40"/>
      <c r="AA1" s="40"/>
      <c r="AB1" s="40"/>
      <c r="AC1" s="41"/>
      <c r="AD1" s="39" t="s">
        <v>130</v>
      </c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58" t="s">
        <v>131</v>
      </c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60"/>
      <c r="BJ1" s="43" t="s">
        <v>132</v>
      </c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1"/>
      <c r="BX1" s="42" t="s">
        <v>127</v>
      </c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1"/>
      <c r="CL1" s="56" t="s">
        <v>433</v>
      </c>
      <c r="CM1" s="57"/>
      <c r="CN1" s="57"/>
      <c r="CO1" s="57"/>
    </row>
    <row r="2" spans="1:93" ht="32.25" customHeight="1" x14ac:dyDescent="0.25">
      <c r="A2" s="3" t="s">
        <v>426</v>
      </c>
      <c r="B2" s="3" t="s">
        <v>24</v>
      </c>
      <c r="C2" s="3" t="s">
        <v>133</v>
      </c>
      <c r="D2" s="3" t="s">
        <v>68</v>
      </c>
      <c r="E2" s="3" t="s">
        <v>69</v>
      </c>
      <c r="F2" s="3" t="s">
        <v>134</v>
      </c>
      <c r="G2" s="3" t="s">
        <v>135</v>
      </c>
      <c r="H2" s="3" t="s">
        <v>136</v>
      </c>
      <c r="I2" s="3" t="s">
        <v>137</v>
      </c>
      <c r="J2" s="3" t="s">
        <v>138</v>
      </c>
      <c r="K2" s="3" t="s">
        <v>139</v>
      </c>
      <c r="L2" s="3" t="s">
        <v>140</v>
      </c>
      <c r="M2" s="3" t="s">
        <v>141</v>
      </c>
      <c r="N2" s="3" t="s">
        <v>142</v>
      </c>
      <c r="O2" s="3" t="s">
        <v>143</v>
      </c>
      <c r="P2" s="3" t="s">
        <v>144</v>
      </c>
      <c r="Q2" s="3" t="s">
        <v>145</v>
      </c>
      <c r="R2" s="3" t="s">
        <v>313</v>
      </c>
      <c r="S2" s="3" t="s">
        <v>314</v>
      </c>
      <c r="T2" s="3" t="s">
        <v>146</v>
      </c>
      <c r="U2" s="3" t="s">
        <v>147</v>
      </c>
      <c r="V2" s="3" t="s">
        <v>148</v>
      </c>
      <c r="W2" s="3" t="s">
        <v>149</v>
      </c>
      <c r="X2" s="3" t="s">
        <v>150</v>
      </c>
      <c r="Y2" s="3" t="s">
        <v>151</v>
      </c>
      <c r="Z2" s="3" t="s">
        <v>152</v>
      </c>
      <c r="AA2" s="3" t="s">
        <v>153</v>
      </c>
      <c r="AB2" s="3" t="s">
        <v>154</v>
      </c>
      <c r="AC2" s="3" t="s">
        <v>155</v>
      </c>
      <c r="AD2" s="3" t="s">
        <v>156</v>
      </c>
      <c r="AE2" s="3" t="s">
        <v>157</v>
      </c>
      <c r="AF2" s="3" t="s">
        <v>158</v>
      </c>
      <c r="AG2" s="3" t="s">
        <v>159</v>
      </c>
      <c r="AH2" s="3" t="s">
        <v>160</v>
      </c>
      <c r="AI2" s="3" t="s">
        <v>161</v>
      </c>
      <c r="AJ2" s="3" t="s">
        <v>162</v>
      </c>
      <c r="AK2" s="3" t="s">
        <v>163</v>
      </c>
      <c r="AL2" s="3" t="s">
        <v>164</v>
      </c>
      <c r="AM2" s="3" t="s">
        <v>165</v>
      </c>
      <c r="AN2" s="3" t="s">
        <v>166</v>
      </c>
      <c r="AO2" s="3" t="s">
        <v>167</v>
      </c>
      <c r="AP2" s="3" t="s">
        <v>168</v>
      </c>
      <c r="AQ2" s="3" t="s">
        <v>169</v>
      </c>
      <c r="AR2" s="3" t="s">
        <v>170</v>
      </c>
      <c r="AS2" s="3" t="s">
        <v>171</v>
      </c>
      <c r="AT2" s="3" t="s">
        <v>172</v>
      </c>
      <c r="AU2" s="3" t="s">
        <v>173</v>
      </c>
      <c r="AV2" s="3" t="s">
        <v>174</v>
      </c>
      <c r="AW2" s="3" t="s">
        <v>175</v>
      </c>
      <c r="AX2" s="3" t="s">
        <v>176</v>
      </c>
      <c r="AY2" s="3" t="s">
        <v>177</v>
      </c>
      <c r="AZ2" s="3" t="s">
        <v>178</v>
      </c>
      <c r="BA2" s="3" t="s">
        <v>179</v>
      </c>
      <c r="BB2" s="3" t="s">
        <v>180</v>
      </c>
      <c r="BC2" s="3" t="s">
        <v>181</v>
      </c>
      <c r="BD2" s="3" t="s">
        <v>182</v>
      </c>
      <c r="BE2" s="3" t="s">
        <v>183</v>
      </c>
      <c r="BF2" s="3" t="s">
        <v>184</v>
      </c>
      <c r="BG2" s="3" t="s">
        <v>185</v>
      </c>
      <c r="BH2" s="3" t="s">
        <v>186</v>
      </c>
      <c r="BI2" s="3" t="s">
        <v>187</v>
      </c>
      <c r="BJ2" s="3" t="s">
        <v>188</v>
      </c>
      <c r="BK2" s="3" t="s">
        <v>455</v>
      </c>
      <c r="BL2" s="3" t="s">
        <v>456</v>
      </c>
      <c r="BM2" s="3" t="s">
        <v>189</v>
      </c>
      <c r="BN2" s="3" t="s">
        <v>190</v>
      </c>
      <c r="BO2" s="3" t="s">
        <v>191</v>
      </c>
      <c r="BP2" s="3" t="s">
        <v>192</v>
      </c>
      <c r="BQ2" s="3" t="s">
        <v>193</v>
      </c>
      <c r="BR2" s="3" t="s">
        <v>194</v>
      </c>
      <c r="BS2" s="3" t="s">
        <v>195</v>
      </c>
      <c r="BT2" s="3" t="s">
        <v>196</v>
      </c>
      <c r="BU2" s="3" t="s">
        <v>197</v>
      </c>
      <c r="BV2" s="3" t="s">
        <v>198</v>
      </c>
      <c r="BW2" s="3" t="s">
        <v>199</v>
      </c>
      <c r="BX2" s="3" t="s">
        <v>200</v>
      </c>
      <c r="BY2" s="3" t="s">
        <v>459</v>
      </c>
      <c r="BZ2" s="3" t="s">
        <v>460</v>
      </c>
      <c r="CA2" s="3" t="s">
        <v>201</v>
      </c>
      <c r="CB2" s="3" t="s">
        <v>202</v>
      </c>
      <c r="CC2" s="3" t="s">
        <v>203</v>
      </c>
      <c r="CD2" s="3" t="s">
        <v>204</v>
      </c>
      <c r="CE2" s="3" t="s">
        <v>205</v>
      </c>
      <c r="CF2" s="3" t="s">
        <v>206</v>
      </c>
      <c r="CG2" s="3" t="s">
        <v>207</v>
      </c>
      <c r="CH2" s="3" t="s">
        <v>208</v>
      </c>
      <c r="CI2" s="3" t="s">
        <v>209</v>
      </c>
      <c r="CJ2" s="3" t="s">
        <v>210</v>
      </c>
      <c r="CK2" s="3" t="s">
        <v>211</v>
      </c>
      <c r="CL2" s="3" t="s">
        <v>434</v>
      </c>
      <c r="CM2" s="3" t="s">
        <v>435</v>
      </c>
      <c r="CN2" s="3" t="s">
        <v>436</v>
      </c>
      <c r="CO2" s="3" t="s">
        <v>437</v>
      </c>
    </row>
    <row r="3" spans="1:93" ht="36" customHeight="1" x14ac:dyDescent="0.25">
      <c r="A3" s="9" t="s">
        <v>427</v>
      </c>
      <c r="B3" s="9" t="s">
        <v>37</v>
      </c>
      <c r="C3" s="9" t="s">
        <v>212</v>
      </c>
      <c r="D3" s="9" t="s">
        <v>106</v>
      </c>
      <c r="E3" s="9" t="s">
        <v>107</v>
      </c>
      <c r="F3" s="9" t="s">
        <v>213</v>
      </c>
      <c r="G3" s="9" t="s">
        <v>214</v>
      </c>
      <c r="H3" s="9" t="s">
        <v>215</v>
      </c>
      <c r="I3" s="9" t="s">
        <v>216</v>
      </c>
      <c r="J3" s="9" t="s">
        <v>217</v>
      </c>
      <c r="K3" s="9" t="s">
        <v>218</v>
      </c>
      <c r="L3" s="9" t="s">
        <v>219</v>
      </c>
      <c r="M3" s="9" t="s">
        <v>220</v>
      </c>
      <c r="N3" s="9" t="s">
        <v>221</v>
      </c>
      <c r="O3" s="9" t="s">
        <v>222</v>
      </c>
      <c r="P3" s="9" t="s">
        <v>223</v>
      </c>
      <c r="Q3" s="9" t="s">
        <v>224</v>
      </c>
      <c r="R3" s="9" t="s">
        <v>442</v>
      </c>
      <c r="S3" s="9" t="s">
        <v>443</v>
      </c>
      <c r="T3" s="9" t="s">
        <v>225</v>
      </c>
      <c r="U3" s="9" t="s">
        <v>226</v>
      </c>
      <c r="V3" s="9" t="s">
        <v>227</v>
      </c>
      <c r="W3" s="9" t="s">
        <v>228</v>
      </c>
      <c r="X3" s="9" t="s">
        <v>229</v>
      </c>
      <c r="Y3" s="9" t="s">
        <v>480</v>
      </c>
      <c r="Z3" s="9" t="s">
        <v>230</v>
      </c>
      <c r="AA3" s="9" t="s">
        <v>231</v>
      </c>
      <c r="AB3" s="9" t="s">
        <v>232</v>
      </c>
      <c r="AC3" s="9" t="s">
        <v>481</v>
      </c>
      <c r="AD3" s="9" t="s">
        <v>233</v>
      </c>
      <c r="AE3" s="9" t="s">
        <v>226</v>
      </c>
      <c r="AF3" s="9" t="s">
        <v>227</v>
      </c>
      <c r="AG3" s="9" t="s">
        <v>228</v>
      </c>
      <c r="AH3" s="9" t="s">
        <v>229</v>
      </c>
      <c r="AI3" s="9" t="s">
        <v>480</v>
      </c>
      <c r="AJ3" s="9" t="s">
        <v>230</v>
      </c>
      <c r="AK3" s="9" t="s">
        <v>231</v>
      </c>
      <c r="AL3" s="9" t="s">
        <v>232</v>
      </c>
      <c r="AM3" s="9" t="s">
        <v>481</v>
      </c>
      <c r="AN3" s="9" t="s">
        <v>234</v>
      </c>
      <c r="AO3" s="9" t="s">
        <v>235</v>
      </c>
      <c r="AP3" s="9" t="s">
        <v>236</v>
      </c>
      <c r="AQ3" s="9" t="s">
        <v>482</v>
      </c>
      <c r="AR3" s="9" t="s">
        <v>237</v>
      </c>
      <c r="AS3" s="9" t="s">
        <v>226</v>
      </c>
      <c r="AT3" s="9" t="s">
        <v>227</v>
      </c>
      <c r="AU3" s="9" t="s">
        <v>228</v>
      </c>
      <c r="AV3" s="9" t="s">
        <v>229</v>
      </c>
      <c r="AW3" s="9" t="s">
        <v>480</v>
      </c>
      <c r="AX3" s="9" t="s">
        <v>230</v>
      </c>
      <c r="AY3" s="9" t="s">
        <v>231</v>
      </c>
      <c r="AZ3" s="9" t="s">
        <v>232</v>
      </c>
      <c r="BA3" s="9" t="s">
        <v>481</v>
      </c>
      <c r="BB3" s="9" t="s">
        <v>234</v>
      </c>
      <c r="BC3" s="9" t="s">
        <v>235</v>
      </c>
      <c r="BD3" s="9" t="s">
        <v>236</v>
      </c>
      <c r="BE3" s="9" t="s">
        <v>482</v>
      </c>
      <c r="BF3" s="9" t="s">
        <v>238</v>
      </c>
      <c r="BG3" s="9" t="s">
        <v>239</v>
      </c>
      <c r="BH3" s="9" t="s">
        <v>240</v>
      </c>
      <c r="BI3" s="9" t="s">
        <v>483</v>
      </c>
      <c r="BJ3" s="9" t="s">
        <v>241</v>
      </c>
      <c r="BK3" s="9" t="s">
        <v>458</v>
      </c>
      <c r="BL3" s="9" t="s">
        <v>457</v>
      </c>
      <c r="BM3" s="9" t="s">
        <v>242</v>
      </c>
      <c r="BN3" s="9" t="s">
        <v>243</v>
      </c>
      <c r="BO3" s="9" t="s">
        <v>244</v>
      </c>
      <c r="BP3" s="9" t="s">
        <v>245</v>
      </c>
      <c r="BQ3" s="9" t="s">
        <v>246</v>
      </c>
      <c r="BR3" s="9" t="s">
        <v>247</v>
      </c>
      <c r="BS3" s="9" t="s">
        <v>248</v>
      </c>
      <c r="BT3" s="9" t="s">
        <v>249</v>
      </c>
      <c r="BU3" s="9" t="s">
        <v>250</v>
      </c>
      <c r="BV3" s="9" t="s">
        <v>251</v>
      </c>
      <c r="BW3" s="9" t="s">
        <v>252</v>
      </c>
      <c r="BX3" s="9" t="s">
        <v>253</v>
      </c>
      <c r="BY3" s="9" t="s">
        <v>458</v>
      </c>
      <c r="BZ3" s="9" t="s">
        <v>457</v>
      </c>
      <c r="CA3" s="9" t="s">
        <v>254</v>
      </c>
      <c r="CB3" s="9" t="s">
        <v>255</v>
      </c>
      <c r="CC3" s="9" t="s">
        <v>244</v>
      </c>
      <c r="CD3" s="9" t="s">
        <v>245</v>
      </c>
      <c r="CE3" s="9" t="s">
        <v>256</v>
      </c>
      <c r="CF3" s="9" t="s">
        <v>247</v>
      </c>
      <c r="CG3" s="9" t="s">
        <v>248</v>
      </c>
      <c r="CH3" s="9" t="s">
        <v>249</v>
      </c>
      <c r="CI3" s="9" t="s">
        <v>250</v>
      </c>
      <c r="CJ3" s="9" t="s">
        <v>251</v>
      </c>
      <c r="CK3" s="9" t="s">
        <v>257</v>
      </c>
      <c r="CL3" s="9" t="s">
        <v>438</v>
      </c>
      <c r="CM3" s="9" t="s">
        <v>439</v>
      </c>
      <c r="CN3" s="9" t="s">
        <v>440</v>
      </c>
      <c r="CO3" s="9" t="s">
        <v>441</v>
      </c>
    </row>
    <row r="4" spans="1:93" ht="17.100000000000001" customHeight="1" x14ac:dyDescent="0.25">
      <c r="A4" s="5" t="s">
        <v>260</v>
      </c>
      <c r="B4" s="21" t="s">
        <v>121</v>
      </c>
      <c r="C4" s="21" t="s">
        <v>428</v>
      </c>
      <c r="D4" s="21">
        <v>10</v>
      </c>
      <c r="E4" s="21">
        <v>12</v>
      </c>
      <c r="F4" s="10" t="s">
        <v>430</v>
      </c>
      <c r="G4" s="10" t="s">
        <v>431</v>
      </c>
      <c r="H4" s="21">
        <v>1</v>
      </c>
      <c r="I4" s="21">
        <v>1</v>
      </c>
      <c r="J4" s="21">
        <v>101</v>
      </c>
      <c r="K4" s="21">
        <v>101</v>
      </c>
      <c r="L4" s="21">
        <v>201</v>
      </c>
      <c r="M4" s="21">
        <v>201</v>
      </c>
      <c r="N4" s="21">
        <v>301</v>
      </c>
      <c r="O4" s="21">
        <v>301</v>
      </c>
      <c r="P4" s="24"/>
      <c r="Q4" s="24"/>
      <c r="R4" s="21">
        <v>1001</v>
      </c>
      <c r="S4" s="21">
        <v>1001</v>
      </c>
      <c r="T4" s="21">
        <v>2</v>
      </c>
      <c r="U4" s="21">
        <v>0.5</v>
      </c>
      <c r="V4" s="21">
        <v>2</v>
      </c>
      <c r="W4" s="21">
        <v>6</v>
      </c>
      <c r="X4" s="24" t="s">
        <v>260</v>
      </c>
      <c r="Y4" s="24">
        <v>1</v>
      </c>
      <c r="Z4" s="24"/>
      <c r="AA4" s="24"/>
      <c r="AB4" s="24" t="s">
        <v>259</v>
      </c>
      <c r="AC4" s="24"/>
      <c r="AD4" s="21">
        <v>10.01</v>
      </c>
      <c r="AE4" s="21">
        <v>0.5</v>
      </c>
      <c r="AF4" s="21">
        <v>3</v>
      </c>
      <c r="AG4" s="21">
        <v>1</v>
      </c>
      <c r="AH4" s="24" t="s">
        <v>259</v>
      </c>
      <c r="AI4" s="24"/>
      <c r="AJ4" s="24"/>
      <c r="AK4" s="24"/>
      <c r="AL4" s="24" t="s">
        <v>259</v>
      </c>
      <c r="AM4" s="24"/>
      <c r="AN4" s="24"/>
      <c r="AO4" s="24"/>
      <c r="AP4" s="24" t="s">
        <v>259</v>
      </c>
      <c r="AQ4" s="24"/>
      <c r="AR4" s="21">
        <v>11.51</v>
      </c>
      <c r="AS4" s="21">
        <v>0.4</v>
      </c>
      <c r="AT4" s="21">
        <v>3</v>
      </c>
      <c r="AU4" s="21">
        <v>4</v>
      </c>
      <c r="AV4" s="24" t="s">
        <v>259</v>
      </c>
      <c r="AW4" s="24"/>
      <c r="AX4" s="24">
        <v>10.81</v>
      </c>
      <c r="AY4" s="24">
        <v>3</v>
      </c>
      <c r="AZ4" s="24" t="s">
        <v>259</v>
      </c>
      <c r="BA4" s="24"/>
      <c r="BB4" s="24">
        <v>11.21</v>
      </c>
      <c r="BC4" s="24">
        <v>5</v>
      </c>
      <c r="BD4" s="24" t="s">
        <v>259</v>
      </c>
      <c r="BE4" s="24"/>
      <c r="BF4" s="24"/>
      <c r="BG4" s="24"/>
      <c r="BH4" s="24" t="s">
        <v>259</v>
      </c>
      <c r="BI4" s="24"/>
      <c r="BJ4" s="21">
        <v>0</v>
      </c>
      <c r="BK4" s="21">
        <v>1.9</v>
      </c>
      <c r="BL4" s="21">
        <v>2</v>
      </c>
      <c r="BM4" s="5">
        <f>AR4</f>
        <v>11.51</v>
      </c>
      <c r="BN4" s="21">
        <v>11.88</v>
      </c>
      <c r="BO4" s="21">
        <v>7</v>
      </c>
      <c r="BP4" s="21">
        <v>1</v>
      </c>
      <c r="BQ4" s="5">
        <f>BN4</f>
        <v>11.88</v>
      </c>
      <c r="BR4" s="21">
        <v>8</v>
      </c>
      <c r="BS4" s="21">
        <v>4</v>
      </c>
      <c r="BT4" s="21">
        <v>11</v>
      </c>
      <c r="BU4" s="21">
        <v>4</v>
      </c>
      <c r="BV4" s="21">
        <v>1</v>
      </c>
      <c r="BW4" s="21" t="s">
        <v>259</v>
      </c>
      <c r="BX4" s="10"/>
      <c r="BY4" s="21">
        <v>1.9</v>
      </c>
      <c r="BZ4" s="21">
        <v>2</v>
      </c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21">
        <v>2</v>
      </c>
      <c r="CM4" s="21">
        <v>4</v>
      </c>
      <c r="CN4" s="21">
        <v>5</v>
      </c>
      <c r="CO4" s="21">
        <v>10</v>
      </c>
    </row>
    <row r="5" spans="1:93" ht="17.100000000000001" customHeight="1" x14ac:dyDescent="0.25">
      <c r="A5" s="5" t="s">
        <v>259</v>
      </c>
      <c r="B5" s="21" t="s">
        <v>51</v>
      </c>
      <c r="C5" s="21" t="s">
        <v>258</v>
      </c>
      <c r="D5" s="21">
        <v>10</v>
      </c>
      <c r="E5" s="21">
        <v>12</v>
      </c>
      <c r="F5" s="10"/>
      <c r="G5" s="10" t="s">
        <v>431</v>
      </c>
      <c r="H5" s="21">
        <v>1</v>
      </c>
      <c r="I5" s="21">
        <v>1</v>
      </c>
      <c r="J5" s="21">
        <v>101</v>
      </c>
      <c r="K5" s="21">
        <v>101</v>
      </c>
      <c r="L5" s="21">
        <v>201</v>
      </c>
      <c r="M5" s="21">
        <v>201</v>
      </c>
      <c r="N5" s="21">
        <v>301</v>
      </c>
      <c r="O5" s="21">
        <v>301</v>
      </c>
      <c r="P5" s="24">
        <v>401</v>
      </c>
      <c r="Q5" s="24">
        <v>401</v>
      </c>
      <c r="R5" s="21">
        <v>1001</v>
      </c>
      <c r="S5" s="21">
        <v>1001</v>
      </c>
      <c r="T5" s="21">
        <v>2</v>
      </c>
      <c r="U5" s="21">
        <v>0.5</v>
      </c>
      <c r="V5" s="21">
        <v>2</v>
      </c>
      <c r="W5" s="21">
        <v>6</v>
      </c>
      <c r="X5" s="24" t="s">
        <v>260</v>
      </c>
      <c r="Y5" s="24">
        <v>1</v>
      </c>
      <c r="Z5" s="24"/>
      <c r="AA5" s="24"/>
      <c r="AB5" s="24" t="s">
        <v>259</v>
      </c>
      <c r="AC5" s="24"/>
      <c r="AD5" s="21">
        <v>10.09</v>
      </c>
      <c r="AE5" s="21">
        <v>0.5</v>
      </c>
      <c r="AF5" s="21">
        <v>3</v>
      </c>
      <c r="AG5" s="21">
        <v>1</v>
      </c>
      <c r="AH5" s="24" t="s">
        <v>259</v>
      </c>
      <c r="AI5" s="24"/>
      <c r="AJ5" s="24"/>
      <c r="AK5" s="24"/>
      <c r="AL5" s="24" t="s">
        <v>259</v>
      </c>
      <c r="AM5" s="24"/>
      <c r="AN5" s="24"/>
      <c r="AO5" s="24"/>
      <c r="AP5" s="24" t="s">
        <v>259</v>
      </c>
      <c r="AQ5" s="24"/>
      <c r="AR5" s="21">
        <v>11.51</v>
      </c>
      <c r="AS5" s="21">
        <v>0.4</v>
      </c>
      <c r="AT5" s="21">
        <v>3</v>
      </c>
      <c r="AU5" s="21">
        <v>4</v>
      </c>
      <c r="AV5" s="24" t="s">
        <v>259</v>
      </c>
      <c r="AW5" s="24"/>
      <c r="AX5" s="24">
        <v>10.81</v>
      </c>
      <c r="AY5" s="24">
        <v>3</v>
      </c>
      <c r="AZ5" s="24" t="s">
        <v>259</v>
      </c>
      <c r="BA5" s="24"/>
      <c r="BB5" s="24">
        <v>11.21</v>
      </c>
      <c r="BC5" s="24">
        <v>5</v>
      </c>
      <c r="BD5" s="24" t="s">
        <v>259</v>
      </c>
      <c r="BE5" s="24"/>
      <c r="BF5" s="24"/>
      <c r="BG5" s="24"/>
      <c r="BH5" s="24" t="s">
        <v>259</v>
      </c>
      <c r="BI5" s="24"/>
      <c r="BJ5" s="21">
        <v>1</v>
      </c>
      <c r="BK5" s="21">
        <v>1</v>
      </c>
      <c r="BL5" s="21">
        <v>-1.5</v>
      </c>
      <c r="BM5" s="5">
        <f>AR5</f>
        <v>11.51</v>
      </c>
      <c r="BN5" s="21">
        <v>11.88</v>
      </c>
      <c r="BO5" s="21">
        <v>7</v>
      </c>
      <c r="BP5" s="21">
        <v>1</v>
      </c>
      <c r="BQ5" s="5">
        <f>BN5</f>
        <v>11.88</v>
      </c>
      <c r="BR5" s="21">
        <v>8</v>
      </c>
      <c r="BS5" s="21">
        <v>4</v>
      </c>
      <c r="BT5" s="21">
        <v>11</v>
      </c>
      <c r="BU5" s="21">
        <v>4</v>
      </c>
      <c r="BV5" s="21">
        <v>1</v>
      </c>
      <c r="BW5" s="21" t="s">
        <v>259</v>
      </c>
      <c r="BX5" s="21">
        <v>-1</v>
      </c>
      <c r="BY5" s="21">
        <v>2</v>
      </c>
      <c r="BZ5" s="21">
        <v>-2.5</v>
      </c>
      <c r="CA5" s="5">
        <f>AR5</f>
        <v>11.51</v>
      </c>
      <c r="CB5" s="21">
        <v>11.88</v>
      </c>
      <c r="CC5" s="21">
        <v>10</v>
      </c>
      <c r="CD5" s="21">
        <v>2</v>
      </c>
      <c r="CE5" s="21">
        <f>CB5</f>
        <v>11.88</v>
      </c>
      <c r="CF5" s="21">
        <v>8</v>
      </c>
      <c r="CG5" s="21">
        <v>4</v>
      </c>
      <c r="CH5" s="21">
        <v>11</v>
      </c>
      <c r="CI5" s="21">
        <v>4</v>
      </c>
      <c r="CJ5" s="21">
        <v>1</v>
      </c>
      <c r="CK5" s="21" t="s">
        <v>259</v>
      </c>
      <c r="CL5" s="21">
        <v>1</v>
      </c>
      <c r="CM5" s="21">
        <v>2</v>
      </c>
      <c r="CN5" s="21">
        <v>0</v>
      </c>
      <c r="CO5" s="21">
        <v>15</v>
      </c>
    </row>
    <row r="6" spans="1:93" x14ac:dyDescent="0.25">
      <c r="F6" t="s">
        <v>429</v>
      </c>
      <c r="AE6" s="19"/>
      <c r="AS6" s="19"/>
      <c r="BX6" s="19"/>
      <c r="BY6" s="33"/>
      <c r="BZ6" s="33"/>
    </row>
    <row r="7" spans="1:93" ht="101.25" x14ac:dyDescent="0.25">
      <c r="B7" s="6" t="s">
        <v>261</v>
      </c>
      <c r="F7" t="s">
        <v>432</v>
      </c>
      <c r="BX7" s="19"/>
    </row>
    <row r="8" spans="1:93" ht="112.5" x14ac:dyDescent="0.25">
      <c r="B8" s="6" t="s">
        <v>262</v>
      </c>
    </row>
    <row r="9" spans="1:93" ht="101.25" x14ac:dyDescent="0.25">
      <c r="B9" s="6" t="s">
        <v>263</v>
      </c>
    </row>
    <row r="10" spans="1:93" ht="90" x14ac:dyDescent="0.25">
      <c r="B10" s="6" t="s">
        <v>264</v>
      </c>
    </row>
    <row r="11" spans="1:93" ht="123.75" x14ac:dyDescent="0.25">
      <c r="B11" s="6" t="s">
        <v>265</v>
      </c>
    </row>
    <row r="12" spans="1:93" ht="90" x14ac:dyDescent="0.25">
      <c r="B12" s="6" t="s">
        <v>266</v>
      </c>
    </row>
    <row r="13" spans="1:93" ht="101.25" x14ac:dyDescent="0.25">
      <c r="B13" s="6" t="s">
        <v>267</v>
      </c>
    </row>
    <row r="14" spans="1:93" ht="90" x14ac:dyDescent="0.25">
      <c r="B14" s="6" t="s">
        <v>268</v>
      </c>
    </row>
  </sheetData>
  <mergeCells count="8">
    <mergeCell ref="CL1:CO1"/>
    <mergeCell ref="B1:G1"/>
    <mergeCell ref="BJ1:BW1"/>
    <mergeCell ref="T1:AC1"/>
    <mergeCell ref="BX1:CK1"/>
    <mergeCell ref="AD1:AQ1"/>
    <mergeCell ref="AR1:BI1"/>
    <mergeCell ref="H1:S1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"/>
  <sheetViews>
    <sheetView workbookViewId="0">
      <pane ySplit="3" topLeftCell="A4" activePane="bottomLeft" state="frozen"/>
      <selection pane="bottomLeft" activeCell="E6" sqref="E6"/>
    </sheetView>
  </sheetViews>
  <sheetFormatPr defaultRowHeight="15" x14ac:dyDescent="0.25"/>
  <cols>
    <col min="1" max="11" width="14" customWidth="1"/>
    <col min="12" max="19" width="13" customWidth="1"/>
    <col min="20" max="20" width="12" customWidth="1"/>
    <col min="21" max="22" width="14" customWidth="1"/>
    <col min="23" max="24" width="12" customWidth="1"/>
    <col min="25" max="26" width="14" customWidth="1"/>
    <col min="27" max="27" width="12" customWidth="1"/>
    <col min="28" max="31" width="10" customWidth="1"/>
    <col min="32" max="32" width="12.5703125" customWidth="1"/>
    <col min="33" max="34" width="14" customWidth="1"/>
    <col min="35" max="35" width="16" customWidth="1"/>
    <col min="36" max="36" width="12" customWidth="1"/>
    <col min="37" max="37" width="14" customWidth="1"/>
  </cols>
  <sheetData>
    <row r="1" spans="1:37" ht="27.95" customHeight="1" x14ac:dyDescent="0.25">
      <c r="A1" s="1" t="s">
        <v>20</v>
      </c>
      <c r="B1" s="67" t="s">
        <v>269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53" t="s">
        <v>452</v>
      </c>
      <c r="O1" s="73"/>
      <c r="P1" s="54"/>
      <c r="Q1" s="54"/>
      <c r="R1" s="54"/>
      <c r="S1" s="54"/>
      <c r="T1" s="43" t="s">
        <v>270</v>
      </c>
      <c r="U1" s="40"/>
      <c r="V1" s="40"/>
      <c r="W1" s="41"/>
      <c r="X1" s="70" t="s">
        <v>271</v>
      </c>
      <c r="Y1" s="71"/>
      <c r="Z1" s="71"/>
      <c r="AA1" s="71"/>
      <c r="AB1" s="71"/>
      <c r="AC1" s="71"/>
      <c r="AD1" s="71"/>
      <c r="AE1" s="72"/>
      <c r="AF1" s="64" t="s">
        <v>272</v>
      </c>
      <c r="AG1" s="65"/>
      <c r="AH1" s="66"/>
      <c r="AI1" s="68" t="s">
        <v>273</v>
      </c>
      <c r="AJ1" s="69"/>
      <c r="AK1" s="69"/>
    </row>
    <row r="2" spans="1:37" ht="25.5" customHeight="1" x14ac:dyDescent="0.25">
      <c r="A2" s="3" t="s">
        <v>24</v>
      </c>
      <c r="B2" s="3" t="s">
        <v>464</v>
      </c>
      <c r="C2" s="3" t="s">
        <v>465</v>
      </c>
      <c r="D2" s="3" t="s">
        <v>468</v>
      </c>
      <c r="E2" s="3" t="s">
        <v>469</v>
      </c>
      <c r="F2" s="3" t="s">
        <v>473</v>
      </c>
      <c r="G2" s="3" t="s">
        <v>474</v>
      </c>
      <c r="H2" s="3" t="s">
        <v>475</v>
      </c>
      <c r="I2" s="3" t="s">
        <v>476</v>
      </c>
      <c r="J2" s="3" t="s">
        <v>473</v>
      </c>
      <c r="K2" s="3" t="s">
        <v>474</v>
      </c>
      <c r="L2" s="3" t="s">
        <v>274</v>
      </c>
      <c r="M2" s="3" t="s">
        <v>275</v>
      </c>
      <c r="N2" s="3" t="s">
        <v>484</v>
      </c>
      <c r="O2" s="3" t="s">
        <v>493</v>
      </c>
      <c r="P2" s="3" t="s">
        <v>485</v>
      </c>
      <c r="Q2" s="3" t="s">
        <v>486</v>
      </c>
      <c r="R2" s="3" t="s">
        <v>487</v>
      </c>
      <c r="S2" s="3" t="s">
        <v>453</v>
      </c>
      <c r="T2" s="3" t="s">
        <v>276</v>
      </c>
      <c r="U2" s="3" t="s">
        <v>277</v>
      </c>
      <c r="V2" s="3" t="s">
        <v>278</v>
      </c>
      <c r="W2" s="3" t="s">
        <v>279</v>
      </c>
      <c r="X2" s="3" t="s">
        <v>444</v>
      </c>
      <c r="Y2" s="3" t="s">
        <v>445</v>
      </c>
      <c r="Z2" s="3" t="s">
        <v>446</v>
      </c>
      <c r="AA2" s="3" t="s">
        <v>447</v>
      </c>
      <c r="AB2" s="3" t="s">
        <v>448</v>
      </c>
      <c r="AC2" s="3" t="s">
        <v>449</v>
      </c>
      <c r="AD2" s="3" t="s">
        <v>280</v>
      </c>
      <c r="AE2" s="3" t="s">
        <v>281</v>
      </c>
      <c r="AF2" s="3" t="s">
        <v>282</v>
      </c>
      <c r="AG2" s="3" t="s">
        <v>283</v>
      </c>
      <c r="AH2" s="3" t="s">
        <v>284</v>
      </c>
      <c r="AI2" s="3" t="s">
        <v>285</v>
      </c>
      <c r="AJ2" s="3" t="s">
        <v>286</v>
      </c>
      <c r="AK2" s="3" t="s">
        <v>287</v>
      </c>
    </row>
    <row r="3" spans="1:37" ht="36" customHeight="1" x14ac:dyDescent="0.25">
      <c r="A3" s="9" t="s">
        <v>37</v>
      </c>
      <c r="B3" s="9" t="s">
        <v>466</v>
      </c>
      <c r="C3" s="9" t="s">
        <v>467</v>
      </c>
      <c r="D3" s="9" t="s">
        <v>471</v>
      </c>
      <c r="E3" s="9" t="s">
        <v>470</v>
      </c>
      <c r="F3" s="9" t="s">
        <v>462</v>
      </c>
      <c r="G3" s="9" t="s">
        <v>463</v>
      </c>
      <c r="H3" s="9" t="s">
        <v>477</v>
      </c>
      <c r="I3" s="9" t="s">
        <v>478</v>
      </c>
      <c r="J3" s="9" t="s">
        <v>472</v>
      </c>
      <c r="K3" s="9" t="s">
        <v>479</v>
      </c>
      <c r="L3" s="9" t="s">
        <v>288</v>
      </c>
      <c r="M3" s="9" t="s">
        <v>289</v>
      </c>
      <c r="N3" s="9" t="s">
        <v>488</v>
      </c>
      <c r="O3" s="9" t="s">
        <v>489</v>
      </c>
      <c r="P3" s="9" t="s">
        <v>490</v>
      </c>
      <c r="Q3" s="9" t="s">
        <v>491</v>
      </c>
      <c r="R3" s="9" t="s">
        <v>492</v>
      </c>
      <c r="S3" s="9" t="s">
        <v>454</v>
      </c>
      <c r="T3" s="9" t="s">
        <v>290</v>
      </c>
      <c r="U3" s="9" t="s">
        <v>291</v>
      </c>
      <c r="V3" s="9" t="s">
        <v>292</v>
      </c>
      <c r="W3" s="9" t="s">
        <v>293</v>
      </c>
      <c r="X3" s="9" t="s">
        <v>450</v>
      </c>
      <c r="Y3" s="9" t="s">
        <v>294</v>
      </c>
      <c r="Z3" s="9" t="s">
        <v>295</v>
      </c>
      <c r="AA3" s="9" t="s">
        <v>451</v>
      </c>
      <c r="AB3" s="9" t="s">
        <v>294</v>
      </c>
      <c r="AC3" s="9" t="s">
        <v>295</v>
      </c>
      <c r="AD3" s="9" t="s">
        <v>296</v>
      </c>
      <c r="AE3" s="9" t="s">
        <v>297</v>
      </c>
      <c r="AF3" s="9" t="s">
        <v>298</v>
      </c>
      <c r="AG3" s="9" t="s">
        <v>299</v>
      </c>
      <c r="AH3" s="9" t="s">
        <v>300</v>
      </c>
      <c r="AI3" s="25" t="s">
        <v>317</v>
      </c>
      <c r="AJ3" s="9" t="s">
        <v>296</v>
      </c>
      <c r="AK3" s="9" t="s">
        <v>301</v>
      </c>
    </row>
    <row r="4" spans="1:37" ht="17.100000000000001" customHeight="1" x14ac:dyDescent="0.25">
      <c r="A4" s="5" t="s">
        <v>121</v>
      </c>
      <c r="B4" s="32">
        <v>1</v>
      </c>
      <c r="C4" s="32">
        <v>1</v>
      </c>
      <c r="D4" s="32">
        <v>1</v>
      </c>
      <c r="E4" s="32">
        <v>1</v>
      </c>
      <c r="F4" s="32">
        <v>1</v>
      </c>
      <c r="G4" s="32">
        <v>1</v>
      </c>
      <c r="H4" s="32">
        <v>1</v>
      </c>
      <c r="I4" s="32">
        <v>1</v>
      </c>
      <c r="J4" s="32">
        <v>1</v>
      </c>
      <c r="K4" s="32">
        <v>1</v>
      </c>
      <c r="L4" s="32">
        <v>1</v>
      </c>
      <c r="M4" s="32">
        <v>1</v>
      </c>
      <c r="N4" s="32">
        <v>1</v>
      </c>
      <c r="O4" s="32">
        <v>1</v>
      </c>
      <c r="P4" s="32">
        <v>1</v>
      </c>
      <c r="Q4" s="32">
        <v>1</v>
      </c>
      <c r="R4" s="32">
        <v>1</v>
      </c>
      <c r="S4" s="32">
        <v>1</v>
      </c>
      <c r="T4" s="32" t="s">
        <v>259</v>
      </c>
      <c r="U4" s="32"/>
      <c r="V4" s="32"/>
      <c r="W4" s="32"/>
      <c r="X4" s="32" t="s">
        <v>259</v>
      </c>
      <c r="Y4" s="32">
        <v>5</v>
      </c>
      <c r="Z4" s="32">
        <v>0</v>
      </c>
      <c r="AA4" s="32" t="s">
        <v>259</v>
      </c>
      <c r="AB4" s="32">
        <v>5</v>
      </c>
      <c r="AC4" s="32">
        <v>0</v>
      </c>
      <c r="AD4" s="32">
        <v>1.8</v>
      </c>
      <c r="AE4" s="32">
        <v>30</v>
      </c>
      <c r="AF4" s="32" t="s">
        <v>259</v>
      </c>
      <c r="AG4" s="32"/>
      <c r="AH4" s="32"/>
      <c r="AI4" s="32" t="s">
        <v>259</v>
      </c>
      <c r="AJ4" s="32"/>
      <c r="AK4" s="32"/>
    </row>
    <row r="5" spans="1:37" x14ac:dyDescent="0.25">
      <c r="A5" s="5" t="s">
        <v>51</v>
      </c>
      <c r="B5" s="32">
        <v>2</v>
      </c>
      <c r="C5" s="32">
        <v>2</v>
      </c>
      <c r="D5" s="32">
        <v>2</v>
      </c>
      <c r="E5" s="32">
        <v>2</v>
      </c>
      <c r="F5" s="32">
        <v>1</v>
      </c>
      <c r="G5" s="32">
        <v>1</v>
      </c>
      <c r="H5" s="32">
        <v>1</v>
      </c>
      <c r="I5" s="32">
        <v>1</v>
      </c>
      <c r="J5" s="32">
        <v>1</v>
      </c>
      <c r="K5" s="32">
        <v>1</v>
      </c>
      <c r="L5" s="32">
        <v>1</v>
      </c>
      <c r="M5" s="32">
        <v>1</v>
      </c>
      <c r="N5" s="32">
        <v>1</v>
      </c>
      <c r="O5" s="32">
        <v>1</v>
      </c>
      <c r="P5" s="32">
        <v>1</v>
      </c>
      <c r="Q5" s="32">
        <v>1</v>
      </c>
      <c r="R5" s="32">
        <v>1</v>
      </c>
      <c r="S5" s="32">
        <v>1</v>
      </c>
      <c r="T5" s="32" t="s">
        <v>260</v>
      </c>
      <c r="U5" s="32">
        <v>4</v>
      </c>
      <c r="V5" s="32">
        <v>0</v>
      </c>
      <c r="W5" s="32">
        <v>2</v>
      </c>
      <c r="X5" s="32" t="s">
        <v>260</v>
      </c>
      <c r="Y5" s="32">
        <v>5</v>
      </c>
      <c r="Z5" s="32">
        <v>0</v>
      </c>
      <c r="AA5" s="32" t="s">
        <v>260</v>
      </c>
      <c r="AB5" s="32">
        <v>5</v>
      </c>
      <c r="AC5" s="32">
        <v>0</v>
      </c>
      <c r="AD5" s="32">
        <v>1.8</v>
      </c>
      <c r="AE5" s="32">
        <v>30</v>
      </c>
      <c r="AF5" s="32" t="s">
        <v>260</v>
      </c>
      <c r="AG5" s="32">
        <v>5</v>
      </c>
      <c r="AH5" s="32">
        <v>4</v>
      </c>
      <c r="AI5" s="32" t="s">
        <v>260</v>
      </c>
      <c r="AJ5" s="32">
        <v>2</v>
      </c>
      <c r="AK5" s="32">
        <v>2</v>
      </c>
    </row>
    <row r="6" spans="1:37" ht="112.5" x14ac:dyDescent="0.25">
      <c r="A6" s="6" t="s">
        <v>302</v>
      </c>
    </row>
    <row r="7" spans="1:37" ht="112.5" x14ac:dyDescent="0.25">
      <c r="A7" s="6" t="s">
        <v>303</v>
      </c>
    </row>
    <row r="8" spans="1:37" ht="123.75" x14ac:dyDescent="0.25">
      <c r="A8" s="6" t="s">
        <v>304</v>
      </c>
    </row>
    <row r="9" spans="1:37" ht="90" x14ac:dyDescent="0.25">
      <c r="A9" s="6" t="s">
        <v>305</v>
      </c>
    </row>
    <row r="10" spans="1:37" ht="112.5" x14ac:dyDescent="0.25">
      <c r="A10" s="6" t="s">
        <v>306</v>
      </c>
    </row>
  </sheetData>
  <mergeCells count="6">
    <mergeCell ref="AF1:AH1"/>
    <mergeCell ref="B1:M1"/>
    <mergeCell ref="T1:W1"/>
    <mergeCell ref="AI1:AK1"/>
    <mergeCell ref="X1:AE1"/>
    <mergeCell ref="N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5"/>
  <sheetViews>
    <sheetView workbookViewId="0">
      <selection activeCell="A5" sqref="A5"/>
    </sheetView>
  </sheetViews>
  <sheetFormatPr defaultRowHeight="15" x14ac:dyDescent="0.25"/>
  <cols>
    <col min="1" max="1" width="110" customWidth="1"/>
  </cols>
  <sheetData>
    <row r="1" spans="1:1" ht="14.1" customHeight="1" x14ac:dyDescent="0.25">
      <c r="A1" s="13" t="s">
        <v>307</v>
      </c>
    </row>
    <row r="2" spans="1:1" ht="6.95" customHeight="1" x14ac:dyDescent="0.25">
      <c r="A2" s="14"/>
    </row>
    <row r="3" spans="1:1" ht="14.1" customHeight="1" x14ac:dyDescent="0.25">
      <c r="A3" s="15" t="s">
        <v>308</v>
      </c>
    </row>
    <row r="4" spans="1:1" ht="14.1" customHeight="1" x14ac:dyDescent="0.25">
      <c r="A4" s="14" t="s">
        <v>318</v>
      </c>
    </row>
    <row r="5" spans="1:1" ht="14.1" customHeight="1" x14ac:dyDescent="0.25">
      <c r="A5" s="14" t="s">
        <v>319</v>
      </c>
    </row>
    <row r="6" spans="1:1" ht="14.1" customHeight="1" x14ac:dyDescent="0.25">
      <c r="A6" s="14" t="s">
        <v>320</v>
      </c>
    </row>
    <row r="7" spans="1:1" ht="14.1" customHeight="1" x14ac:dyDescent="0.25">
      <c r="A7" s="14" t="s">
        <v>321</v>
      </c>
    </row>
    <row r="8" spans="1:1" ht="14.1" customHeight="1" x14ac:dyDescent="0.25">
      <c r="A8" s="14" t="s">
        <v>322</v>
      </c>
    </row>
    <row r="9" spans="1:1" ht="6.95" customHeight="1" x14ac:dyDescent="0.25">
      <c r="A9" s="14"/>
    </row>
    <row r="10" spans="1:1" ht="14.1" customHeight="1" x14ac:dyDescent="0.25">
      <c r="A10" s="15" t="s">
        <v>323</v>
      </c>
    </row>
    <row r="11" spans="1:1" ht="14.1" customHeight="1" x14ac:dyDescent="0.25">
      <c r="A11" s="14" t="s">
        <v>324</v>
      </c>
    </row>
    <row r="12" spans="1:1" ht="14.1" customHeight="1" x14ac:dyDescent="0.25">
      <c r="A12" s="14" t="s">
        <v>325</v>
      </c>
    </row>
    <row r="13" spans="1:1" ht="14.1" customHeight="1" x14ac:dyDescent="0.25">
      <c r="A13" s="14" t="s">
        <v>326</v>
      </c>
    </row>
    <row r="14" spans="1:1" ht="6.95" customHeight="1" x14ac:dyDescent="0.25">
      <c r="A14" s="14"/>
    </row>
    <row r="15" spans="1:1" ht="14.1" customHeight="1" x14ac:dyDescent="0.25">
      <c r="A15" s="15" t="s">
        <v>327</v>
      </c>
    </row>
    <row r="16" spans="1:1" ht="14.1" customHeight="1" x14ac:dyDescent="0.25">
      <c r="A16" s="14" t="s">
        <v>328</v>
      </c>
    </row>
    <row r="17" spans="1:1" ht="14.1" customHeight="1" x14ac:dyDescent="0.25">
      <c r="A17" s="14" t="s">
        <v>329</v>
      </c>
    </row>
    <row r="18" spans="1:1" ht="14.1" customHeight="1" x14ac:dyDescent="0.25">
      <c r="A18" s="14" t="s">
        <v>330</v>
      </c>
    </row>
    <row r="19" spans="1:1" ht="14.1" customHeight="1" x14ac:dyDescent="0.25">
      <c r="A19" s="14" t="s">
        <v>331</v>
      </c>
    </row>
    <row r="20" spans="1:1" ht="6.95" customHeight="1" x14ac:dyDescent="0.25">
      <c r="A20" s="14"/>
    </row>
    <row r="21" spans="1:1" ht="14.1" customHeight="1" x14ac:dyDescent="0.25">
      <c r="A21" s="15" t="s">
        <v>332</v>
      </c>
    </row>
    <row r="22" spans="1:1" ht="14.1" customHeight="1" x14ac:dyDescent="0.25">
      <c r="A22" s="14" t="s">
        <v>333</v>
      </c>
    </row>
    <row r="23" spans="1:1" ht="14.1" customHeight="1" x14ac:dyDescent="0.25">
      <c r="A23" s="14" t="s">
        <v>334</v>
      </c>
    </row>
    <row r="24" spans="1:1" ht="14.1" customHeight="1" x14ac:dyDescent="0.25">
      <c r="A24" s="14" t="s">
        <v>335</v>
      </c>
    </row>
    <row r="25" spans="1:1" ht="6.95" customHeight="1" x14ac:dyDescent="0.25">
      <c r="A25" s="14" t="s">
        <v>336</v>
      </c>
    </row>
    <row r="26" spans="1:1" ht="14.1" customHeight="1" x14ac:dyDescent="0.25">
      <c r="A26" s="26" t="s">
        <v>337</v>
      </c>
    </row>
    <row r="27" spans="1:1" ht="14.1" customHeight="1" x14ac:dyDescent="0.25">
      <c r="A27" s="14" t="s">
        <v>338</v>
      </c>
    </row>
    <row r="28" spans="1:1" ht="14.1" customHeight="1" x14ac:dyDescent="0.25">
      <c r="A28" s="14" t="s">
        <v>339</v>
      </c>
    </row>
    <row r="29" spans="1:1" ht="14.1" customHeight="1" x14ac:dyDescent="0.25">
      <c r="A29" s="14" t="s">
        <v>340</v>
      </c>
    </row>
    <row r="30" spans="1:1" x14ac:dyDescent="0.25">
      <c r="A30" s="14" t="s">
        <v>341</v>
      </c>
    </row>
    <row r="31" spans="1:1" x14ac:dyDescent="0.25">
      <c r="A31" s="14"/>
    </row>
    <row r="32" spans="1:1" x14ac:dyDescent="0.25">
      <c r="A32" s="15" t="s">
        <v>342</v>
      </c>
    </row>
    <row r="33" spans="1:1" x14ac:dyDescent="0.25">
      <c r="A33" s="14" t="s">
        <v>343</v>
      </c>
    </row>
    <row r="34" spans="1:1" x14ac:dyDescent="0.25">
      <c r="A34" s="14" t="s">
        <v>344</v>
      </c>
    </row>
    <row r="35" spans="1:1" x14ac:dyDescent="0.25">
      <c r="A35" s="14" t="s">
        <v>345</v>
      </c>
    </row>
    <row r="36" spans="1:1" x14ac:dyDescent="0.25">
      <c r="A36" s="14" t="s">
        <v>346</v>
      </c>
    </row>
    <row r="37" spans="1:1" x14ac:dyDescent="0.25">
      <c r="A37" s="14" t="s">
        <v>347</v>
      </c>
    </row>
    <row r="38" spans="1:1" x14ac:dyDescent="0.25">
      <c r="A38" s="14" t="s">
        <v>348</v>
      </c>
    </row>
    <row r="39" spans="1:1" x14ac:dyDescent="0.25">
      <c r="A39" s="14" t="s">
        <v>349</v>
      </c>
    </row>
    <row r="40" spans="1:1" x14ac:dyDescent="0.25">
      <c r="A40" s="14" t="s">
        <v>350</v>
      </c>
    </row>
    <row r="41" spans="1:1" x14ac:dyDescent="0.25">
      <c r="A41" s="14" t="s">
        <v>351</v>
      </c>
    </row>
    <row r="42" spans="1:1" x14ac:dyDescent="0.25">
      <c r="A42" s="14" t="s">
        <v>352</v>
      </c>
    </row>
    <row r="43" spans="1:1" x14ac:dyDescent="0.25">
      <c r="A43" s="14" t="s">
        <v>353</v>
      </c>
    </row>
    <row r="44" spans="1:1" x14ac:dyDescent="0.25">
      <c r="A44" s="14" t="s">
        <v>354</v>
      </c>
    </row>
    <row r="45" spans="1:1" x14ac:dyDescent="0.25">
      <c r="A45" s="14" t="s">
        <v>355</v>
      </c>
    </row>
    <row r="46" spans="1:1" x14ac:dyDescent="0.25">
      <c r="A46" s="14" t="s">
        <v>356</v>
      </c>
    </row>
    <row r="47" spans="1:1" x14ac:dyDescent="0.25">
      <c r="A47" s="14" t="s">
        <v>357</v>
      </c>
    </row>
    <row r="48" spans="1:1" x14ac:dyDescent="0.25">
      <c r="A48" s="14" t="s">
        <v>358</v>
      </c>
    </row>
    <row r="49" spans="1:1" x14ac:dyDescent="0.25">
      <c r="A49" s="14" t="s">
        <v>359</v>
      </c>
    </row>
    <row r="50" spans="1:1" x14ac:dyDescent="0.25">
      <c r="A50" s="14"/>
    </row>
    <row r="51" spans="1:1" x14ac:dyDescent="0.25">
      <c r="A51" s="15" t="s">
        <v>360</v>
      </c>
    </row>
    <row r="52" spans="1:1" x14ac:dyDescent="0.25">
      <c r="A52" s="14" t="s">
        <v>361</v>
      </c>
    </row>
    <row r="53" spans="1:1" x14ac:dyDescent="0.25">
      <c r="A53" s="14" t="s">
        <v>362</v>
      </c>
    </row>
    <row r="54" spans="1:1" x14ac:dyDescent="0.25">
      <c r="A54" s="14" t="s">
        <v>363</v>
      </c>
    </row>
    <row r="55" spans="1:1" x14ac:dyDescent="0.25">
      <c r="A55" s="14" t="s">
        <v>364</v>
      </c>
    </row>
    <row r="56" spans="1:1" x14ac:dyDescent="0.25">
      <c r="A56" s="14" t="s">
        <v>365</v>
      </c>
    </row>
    <row r="57" spans="1:1" x14ac:dyDescent="0.25">
      <c r="A57" s="14" t="s">
        <v>366</v>
      </c>
    </row>
    <row r="58" spans="1:1" x14ac:dyDescent="0.25">
      <c r="A58" s="14" t="s">
        <v>367</v>
      </c>
    </row>
    <row r="59" spans="1:1" x14ac:dyDescent="0.25">
      <c r="A59" s="14" t="s">
        <v>368</v>
      </c>
    </row>
    <row r="60" spans="1:1" x14ac:dyDescent="0.25">
      <c r="A60" s="14" t="s">
        <v>369</v>
      </c>
    </row>
    <row r="61" spans="1:1" x14ac:dyDescent="0.25">
      <c r="A61" s="14" t="s">
        <v>370</v>
      </c>
    </row>
    <row r="62" spans="1:1" x14ac:dyDescent="0.25">
      <c r="A62" s="14" t="s">
        <v>371</v>
      </c>
    </row>
    <row r="63" spans="1:1" x14ac:dyDescent="0.25">
      <c r="A63" s="14" t="s">
        <v>372</v>
      </c>
    </row>
    <row r="64" spans="1:1" x14ac:dyDescent="0.25">
      <c r="A64" s="14" t="s">
        <v>373</v>
      </c>
    </row>
    <row r="65" spans="1:1" x14ac:dyDescent="0.25">
      <c r="A65" s="14" t="s">
        <v>374</v>
      </c>
    </row>
    <row r="66" spans="1:1" x14ac:dyDescent="0.25">
      <c r="A66" s="14" t="s">
        <v>375</v>
      </c>
    </row>
    <row r="67" spans="1:1" x14ac:dyDescent="0.25">
      <c r="A67" s="14" t="s">
        <v>376</v>
      </c>
    </row>
    <row r="68" spans="1:1" x14ac:dyDescent="0.25">
      <c r="A68" s="14" t="s">
        <v>377</v>
      </c>
    </row>
    <row r="69" spans="1:1" x14ac:dyDescent="0.25">
      <c r="A69" s="14"/>
    </row>
    <row r="70" spans="1:1" x14ac:dyDescent="0.25">
      <c r="A70" s="15" t="s">
        <v>378</v>
      </c>
    </row>
    <row r="71" spans="1:1" x14ac:dyDescent="0.25">
      <c r="A71" s="14" t="s">
        <v>379</v>
      </c>
    </row>
    <row r="72" spans="1:1" x14ac:dyDescent="0.25">
      <c r="A72" s="14" t="s">
        <v>380</v>
      </c>
    </row>
    <row r="73" spans="1:1" x14ac:dyDescent="0.25">
      <c r="A73" s="14" t="s">
        <v>381</v>
      </c>
    </row>
    <row r="74" spans="1:1" x14ac:dyDescent="0.25">
      <c r="A74" s="14" t="s">
        <v>382</v>
      </c>
    </row>
    <row r="75" spans="1:1" x14ac:dyDescent="0.25">
      <c r="A75" s="14" t="s">
        <v>383</v>
      </c>
    </row>
    <row r="76" spans="1:1" x14ac:dyDescent="0.25">
      <c r="A76" s="14" t="s">
        <v>384</v>
      </c>
    </row>
    <row r="77" spans="1:1" x14ac:dyDescent="0.25">
      <c r="A77" s="14" t="s">
        <v>385</v>
      </c>
    </row>
    <row r="78" spans="1:1" x14ac:dyDescent="0.25">
      <c r="A78" s="14" t="s">
        <v>386</v>
      </c>
    </row>
    <row r="79" spans="1:1" x14ac:dyDescent="0.25">
      <c r="A79" s="14" t="s">
        <v>387</v>
      </c>
    </row>
    <row r="80" spans="1:1" x14ac:dyDescent="0.25">
      <c r="A80" s="14" t="s">
        <v>388</v>
      </c>
    </row>
    <row r="81" spans="1:1" x14ac:dyDescent="0.25">
      <c r="A81" s="14" t="s">
        <v>389</v>
      </c>
    </row>
    <row r="82" spans="1:1" x14ac:dyDescent="0.25">
      <c r="A82" s="14" t="s">
        <v>390</v>
      </c>
    </row>
    <row r="83" spans="1:1" x14ac:dyDescent="0.25">
      <c r="A83" s="14" t="s">
        <v>391</v>
      </c>
    </row>
    <row r="84" spans="1:1" x14ac:dyDescent="0.25">
      <c r="A84" s="14" t="s">
        <v>392</v>
      </c>
    </row>
    <row r="85" spans="1:1" x14ac:dyDescent="0.25">
      <c r="A85" s="6" t="s">
        <v>393</v>
      </c>
    </row>
    <row r="86" spans="1:1" x14ac:dyDescent="0.25">
      <c r="A86" s="14" t="s">
        <v>394</v>
      </c>
    </row>
    <row r="87" spans="1:1" x14ac:dyDescent="0.25">
      <c r="A87" s="14" t="s">
        <v>395</v>
      </c>
    </row>
    <row r="88" spans="1:1" x14ac:dyDescent="0.25">
      <c r="A88" s="14" t="s">
        <v>396</v>
      </c>
    </row>
    <row r="89" spans="1:1" x14ac:dyDescent="0.25">
      <c r="A89" s="14" t="s">
        <v>397</v>
      </c>
    </row>
    <row r="90" spans="1:1" x14ac:dyDescent="0.25">
      <c r="A90" s="14" t="s">
        <v>398</v>
      </c>
    </row>
    <row r="91" spans="1:1" x14ac:dyDescent="0.25">
      <c r="A91" s="14" t="s">
        <v>399</v>
      </c>
    </row>
    <row r="92" spans="1:1" x14ac:dyDescent="0.25">
      <c r="A92" s="14"/>
    </row>
    <row r="93" spans="1:1" x14ac:dyDescent="0.25">
      <c r="A93" s="15" t="s">
        <v>400</v>
      </c>
    </row>
    <row r="94" spans="1:1" x14ac:dyDescent="0.25">
      <c r="A94" s="14" t="s">
        <v>401</v>
      </c>
    </row>
    <row r="95" spans="1:1" x14ac:dyDescent="0.25">
      <c r="A95" s="14" t="s">
        <v>402</v>
      </c>
    </row>
    <row r="96" spans="1:1" x14ac:dyDescent="0.25">
      <c r="A96" s="14" t="s">
        <v>403</v>
      </c>
    </row>
    <row r="97" spans="1:1" x14ac:dyDescent="0.25">
      <c r="A97" s="14" t="s">
        <v>404</v>
      </c>
    </row>
    <row r="98" spans="1:1" x14ac:dyDescent="0.25">
      <c r="A98" s="14" t="s">
        <v>405</v>
      </c>
    </row>
    <row r="99" spans="1:1" x14ac:dyDescent="0.25">
      <c r="A99" s="14" t="s">
        <v>406</v>
      </c>
    </row>
    <row r="100" spans="1:1" x14ac:dyDescent="0.25">
      <c r="A100" s="14" t="s">
        <v>407</v>
      </c>
    </row>
    <row r="101" spans="1:1" x14ac:dyDescent="0.25">
      <c r="A101" s="14" t="s">
        <v>408</v>
      </c>
    </row>
    <row r="102" spans="1:1" x14ac:dyDescent="0.25">
      <c r="A102" s="14" t="s">
        <v>409</v>
      </c>
    </row>
    <row r="103" spans="1:1" x14ac:dyDescent="0.25">
      <c r="A103" s="14" t="s">
        <v>410</v>
      </c>
    </row>
    <row r="104" spans="1:1" x14ac:dyDescent="0.25">
      <c r="A104" s="14" t="s">
        <v>411</v>
      </c>
    </row>
    <row r="105" spans="1:1" x14ac:dyDescent="0.25">
      <c r="A105" s="14" t="s">
        <v>412</v>
      </c>
    </row>
    <row r="106" spans="1:1" x14ac:dyDescent="0.25">
      <c r="A106" s="14" t="s">
        <v>413</v>
      </c>
    </row>
    <row r="107" spans="1:1" x14ac:dyDescent="0.25">
      <c r="A107" s="14" t="s">
        <v>414</v>
      </c>
    </row>
    <row r="108" spans="1:1" x14ac:dyDescent="0.25">
      <c r="A108" s="14" t="s">
        <v>415</v>
      </c>
    </row>
    <row r="109" spans="1:1" x14ac:dyDescent="0.25">
      <c r="A109" s="14" t="s">
        <v>416</v>
      </c>
    </row>
    <row r="110" spans="1:1" x14ac:dyDescent="0.25">
      <c r="A110" s="14"/>
    </row>
    <row r="111" spans="1:1" x14ac:dyDescent="0.25">
      <c r="A111" s="15" t="s">
        <v>417</v>
      </c>
    </row>
    <row r="112" spans="1:1" x14ac:dyDescent="0.25">
      <c r="A112" s="14" t="s">
        <v>418</v>
      </c>
    </row>
    <row r="113" spans="1:1" x14ac:dyDescent="0.25">
      <c r="A113" s="14" t="s">
        <v>419</v>
      </c>
    </row>
    <row r="114" spans="1:1" x14ac:dyDescent="0.25">
      <c r="A114" s="14" t="s">
        <v>420</v>
      </c>
    </row>
    <row r="115" spans="1:1" x14ac:dyDescent="0.25">
      <c r="A115" s="14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Проект</vt:lpstr>
      <vt:lpstr>Плеть</vt:lpstr>
      <vt:lpstr>Массы</vt:lpstr>
      <vt:lpstr>Опоры</vt:lpstr>
      <vt:lpstr>Грунт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Афанасьева Елена Олеговна</cp:lastModifiedBy>
  <dcterms:created xsi:type="dcterms:W3CDTF">2026-05-05T10:19:15Z</dcterms:created>
  <dcterms:modified xsi:type="dcterms:W3CDTF">2026-05-08T07:14:44Z</dcterms:modified>
</cp:coreProperties>
</file>